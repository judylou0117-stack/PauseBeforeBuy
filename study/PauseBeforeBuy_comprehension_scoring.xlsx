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4"/>
    <sheet state="visible" name="Summary" sheetId="2" r:id="rId5"/>
    <sheet state="visible" name="Key" sheetId="3" r:id="rId6"/>
    <sheet state="visible" name="Responses" sheetId="4" r:id="rId7"/>
    <sheet state="visible" name="Scoring" sheetId="5" r:id="rId8"/>
  </sheets>
  <definedNames/>
  <calcPr/>
  <extLst>
    <ext uri="GoogleSheetsCustomDataVersion2">
      <go:sheetsCustomData xmlns:go="http://customooxmlschemas.google.com/" r:id="rId9" roundtripDataChecksum="HwMFB38Le1tmphZHnodyH9v+wFlwLP4EFqbDr/O530E="/>
    </ext>
  </extLst>
</workbook>
</file>

<file path=xl/sharedStrings.xml><?xml version="1.0" encoding="utf-8"?>
<sst xmlns="http://schemas.openxmlformats.org/spreadsheetml/2006/main" count="161" uniqueCount="122">
  <si>
    <r>
      <rPr>
        <rFont val="Arial"/>
        <b/>
        <color theme="1"/>
        <sz val="14.0"/>
      </rPr>
      <t xml:space="preserve">PauseBeforeBuy comprehension test · scoring template </t>
    </r>
    <r>
      <rPr>
        <rFont val="Noto Sans CJK SC"/>
        <b/>
        <color theme="1"/>
        <sz val="14.0"/>
      </rPr>
      <t xml:space="preserve">｜ 理解度测试 </t>
    </r>
    <r>
      <rPr>
        <rFont val="Arial"/>
        <b/>
        <color theme="1"/>
        <sz val="14.0"/>
      </rPr>
      <t xml:space="preserve">· </t>
    </r>
    <r>
      <rPr>
        <rFont val="Noto Sans CJK SC"/>
        <b/>
        <color theme="1"/>
        <sz val="14.0"/>
      </rPr>
      <t>评分模板</t>
    </r>
  </si>
  <si>
    <r>
      <rPr>
        <rFont val="Arial"/>
        <b/>
        <color theme="1"/>
        <sz val="11.0"/>
      </rPr>
      <t xml:space="preserve">How to use </t>
    </r>
    <r>
      <rPr>
        <rFont val="Noto Sans CJK SC"/>
        <b/>
        <color theme="1"/>
        <sz val="11.0"/>
      </rPr>
      <t>｜ 使用方法</t>
    </r>
  </si>
  <si>
    <r>
      <rPr>
        <rFont val="Arial"/>
        <color theme="1"/>
        <sz val="11.0"/>
      </rPr>
      <t xml:space="preserve">1. In Google Forms, open Responses → Link to Sheets. </t>
    </r>
    <r>
      <rPr>
        <rFont val="Noto Sans CJK SC"/>
        <color theme="1"/>
        <sz val="11.0"/>
      </rPr>
      <t xml:space="preserve">｜ 在 </t>
    </r>
    <r>
      <rPr>
        <rFont val="Arial"/>
        <color theme="1"/>
        <sz val="11.0"/>
      </rPr>
      <t xml:space="preserve">Google Forms </t>
    </r>
    <r>
      <rPr>
        <rFont val="Noto Sans CJK SC"/>
        <color theme="1"/>
        <sz val="11.0"/>
      </rPr>
      <t>中打开“回复”→“关联到表格”。</t>
    </r>
  </si>
  <si>
    <r>
      <rPr>
        <rFont val="Arial"/>
        <color theme="1"/>
        <sz val="11.0"/>
      </rPr>
      <t xml:space="preserve">2. In that Google Sheet, select the answer cells from question A1 to question E1 for every participant (not the Timestamp, Score or email columns), and copy. </t>
    </r>
    <r>
      <rPr>
        <rFont val="Noto Sans CJK SC"/>
        <color theme="1"/>
        <sz val="11.0"/>
      </rPr>
      <t xml:space="preserve">｜ 在该表格中选中每位参与者从 </t>
    </r>
    <r>
      <rPr>
        <rFont val="Arial"/>
        <color theme="1"/>
        <sz val="11.0"/>
      </rPr>
      <t xml:space="preserve">A1 </t>
    </r>
    <r>
      <rPr>
        <rFont val="Noto Sans CJK SC"/>
        <color theme="1"/>
        <sz val="11.0"/>
      </rPr>
      <t xml:space="preserve">到 </t>
    </r>
    <r>
      <rPr>
        <rFont val="Arial"/>
        <color theme="1"/>
        <sz val="11.0"/>
      </rPr>
      <t xml:space="preserve">E1 </t>
    </r>
    <r>
      <rPr>
        <rFont val="Noto Sans CJK SC"/>
        <color theme="1"/>
        <sz val="11.0"/>
      </rPr>
      <t>的答案（不要选时间戳、分数或邮箱列），复制。</t>
    </r>
  </si>
  <si>
    <r>
      <rPr>
        <rFont val="Arial"/>
        <color theme="1"/>
        <sz val="11.0"/>
      </rPr>
      <t xml:space="preserve">3. Paste into the yellow area of the Responses sheet, starting at cell B5. </t>
    </r>
    <r>
      <rPr>
        <rFont val="Noto Sans CJK SC"/>
        <color theme="1"/>
        <sz val="11.0"/>
      </rPr>
      <t xml:space="preserve">｜ 粘贴到 </t>
    </r>
    <r>
      <rPr>
        <rFont val="Arial"/>
        <color theme="1"/>
        <sz val="11.0"/>
      </rPr>
      <t xml:space="preserve">Responses </t>
    </r>
    <r>
      <rPr>
        <rFont val="Noto Sans CJK SC"/>
        <color theme="1"/>
        <sz val="11.0"/>
      </rPr>
      <t xml:space="preserve">工作表的黄色区域，从 </t>
    </r>
    <r>
      <rPr>
        <rFont val="Arial"/>
        <color theme="1"/>
        <sz val="11.0"/>
      </rPr>
      <t xml:space="preserve">B5 </t>
    </r>
    <r>
      <rPr>
        <rFont val="Noto Sans CJK SC"/>
        <color theme="1"/>
        <sz val="11.0"/>
      </rPr>
      <t>单元格开始。</t>
    </r>
  </si>
  <si>
    <r>
      <rPr>
        <rFont val="Arial"/>
        <color theme="1"/>
        <sz val="11.0"/>
      </rPr>
      <t xml:space="preserve">4. Read the results on the Summary sheet. Every number updates automatically. </t>
    </r>
    <r>
      <rPr>
        <rFont val="Noto Sans CJK SC"/>
        <color theme="1"/>
        <sz val="11.0"/>
      </rPr>
      <t xml:space="preserve">｜ 在 </t>
    </r>
    <r>
      <rPr>
        <rFont val="Arial"/>
        <color theme="1"/>
        <sz val="11.0"/>
      </rPr>
      <t xml:space="preserve">Summary </t>
    </r>
    <r>
      <rPr>
        <rFont val="Noto Sans CJK SC"/>
        <color theme="1"/>
        <sz val="11.0"/>
      </rPr>
      <t>工作表查看结果，所有数字会自动更新。</t>
    </r>
  </si>
  <si>
    <r>
      <rPr>
        <rFont val="Arial"/>
        <b/>
        <color theme="1"/>
        <sz val="11.0"/>
      </rPr>
      <t xml:space="preserve">Form set-up that keeps scoring reliable </t>
    </r>
    <r>
      <rPr>
        <rFont val="Noto Sans CJK SC"/>
        <b/>
        <color theme="1"/>
        <sz val="11.0"/>
      </rPr>
      <t>｜ 让评分可靠的问卷设置</t>
    </r>
  </si>
  <si>
    <r>
      <rPr>
        <rFont val="Arial"/>
        <color theme="1"/>
        <sz val="11.0"/>
      </rPr>
      <t xml:space="preserve">• Keep the questions in exactly this order: A1, A2, C1–C6, D1–D4, E1. </t>
    </r>
    <r>
      <rPr>
        <rFont val="Noto Sans CJK SC"/>
        <color theme="1"/>
        <sz val="11.0"/>
      </rPr>
      <t>｜ 题目顺序必须一致。</t>
    </r>
  </si>
  <si>
    <r>
      <rPr>
        <rFont val="Arial"/>
        <color theme="1"/>
        <sz val="11.0"/>
      </rPr>
      <t xml:space="preserve">• C1, C2, C3, C6: short-answer questions with Response validation → Number. </t>
    </r>
    <r>
      <rPr>
        <rFont val="Noto Sans CJK SC"/>
        <color theme="1"/>
        <sz val="11.0"/>
      </rPr>
      <t>｜ 数字题开启“回答验证 → 数字”。</t>
    </r>
  </si>
  <si>
    <r>
      <rPr>
        <rFont val="Arial"/>
        <color theme="1"/>
        <sz val="11.0"/>
      </rPr>
      <t xml:space="preserve">• C4 and C5 options must contain the keyword in the Key sheet ("full", "emergency"); A2's correct option must contain "14". Keep English in the option text even if you add Chinese. </t>
    </r>
    <r>
      <rPr>
        <rFont val="Noto Sans CJK SC"/>
        <color theme="1"/>
        <sz val="11.0"/>
      </rPr>
      <t xml:space="preserve">｜ 选项文字需包含 </t>
    </r>
    <r>
      <rPr>
        <rFont val="Arial"/>
        <color theme="1"/>
        <sz val="11.0"/>
      </rPr>
      <t xml:space="preserve">Key </t>
    </r>
    <r>
      <rPr>
        <rFont val="Noto Sans CJK SC"/>
        <color theme="1"/>
        <sz val="11.0"/>
      </rPr>
      <t>表中的关键词；加中文时保留英文。</t>
    </r>
  </si>
  <si>
    <r>
      <rPr>
        <rFont val="Arial"/>
        <color theme="1"/>
        <sz val="11.0"/>
      </rPr>
      <t xml:space="preserve">• A1 and D4 options: "Yes", "No", "Not sure" (Chinese may follow after a space, e.g. "No </t>
    </r>
    <r>
      <rPr>
        <rFont val="Noto Sans CJK SC"/>
        <color theme="1"/>
        <sz val="11.0"/>
      </rPr>
      <t>否</t>
    </r>
    <r>
      <rPr>
        <rFont val="Arial"/>
        <color theme="1"/>
        <sz val="11.0"/>
      </rPr>
      <t xml:space="preserve">"). </t>
    </r>
    <r>
      <rPr>
        <rFont val="Noto Sans CJK SC"/>
        <color theme="1"/>
        <sz val="11.0"/>
      </rPr>
      <t xml:space="preserve">｜ </t>
    </r>
    <r>
      <rPr>
        <rFont val="Arial"/>
        <color theme="1"/>
        <sz val="11.0"/>
      </rPr>
      <t>A1</t>
    </r>
    <r>
      <rPr>
        <rFont val="Noto Sans CJK SC"/>
        <color theme="1"/>
        <sz val="11.0"/>
      </rPr>
      <t>、</t>
    </r>
    <r>
      <rPr>
        <rFont val="Arial"/>
        <color theme="1"/>
        <sz val="11.0"/>
      </rPr>
      <t xml:space="preserve">D4 </t>
    </r>
    <r>
      <rPr>
        <rFont val="Noto Sans CJK SC"/>
        <color theme="1"/>
        <sz val="11.0"/>
      </rPr>
      <t xml:space="preserve">的选项以 </t>
    </r>
    <r>
      <rPr>
        <rFont val="Arial"/>
        <color theme="1"/>
        <sz val="11.0"/>
      </rPr>
      <t xml:space="preserve">Yes / No / Not sure </t>
    </r>
    <r>
      <rPr>
        <rFont val="Noto Sans CJK SC"/>
        <color theme="1"/>
        <sz val="11.0"/>
      </rPr>
      <t>开头。</t>
    </r>
  </si>
  <si>
    <r>
      <rPr>
        <rFont val="Arial"/>
        <color theme="1"/>
        <sz val="11.0"/>
      </rPr>
      <t xml:space="preserve">• D1–D3: linear scale 1 to 5. </t>
    </r>
    <r>
      <rPr>
        <rFont val="Noto Sans CJK SC"/>
        <color theme="1"/>
        <sz val="11.0"/>
      </rPr>
      <t xml:space="preserve">｜ </t>
    </r>
    <r>
      <rPr>
        <rFont val="Arial"/>
        <color theme="1"/>
        <sz val="11.0"/>
      </rPr>
      <t xml:space="preserve">D1–D3 </t>
    </r>
    <r>
      <rPr>
        <rFont val="Noto Sans CJK SC"/>
        <color theme="1"/>
        <sz val="11.0"/>
      </rPr>
      <t xml:space="preserve">用 </t>
    </r>
    <r>
      <rPr>
        <rFont val="Arial"/>
        <color theme="1"/>
        <sz val="11.0"/>
      </rPr>
      <t xml:space="preserve">1 </t>
    </r>
    <r>
      <rPr>
        <rFont val="Noto Sans CJK SC"/>
        <color theme="1"/>
        <sz val="11.0"/>
      </rPr>
      <t xml:space="preserve">到 </t>
    </r>
    <r>
      <rPr>
        <rFont val="Arial"/>
        <color theme="1"/>
        <sz val="11.0"/>
      </rPr>
      <t xml:space="preserve">5 </t>
    </r>
    <r>
      <rPr>
        <rFont val="Noto Sans CJK SC"/>
        <color theme="1"/>
        <sz val="11.0"/>
      </rPr>
      <t>的线性量表。</t>
    </r>
  </si>
  <si>
    <r>
      <rPr>
        <rFont val="Arial"/>
        <b/>
        <color theme="1"/>
        <sz val="11.0"/>
      </rPr>
      <t xml:space="preserve">Example of one pasted row (format only; do not paste this) </t>
    </r>
    <r>
      <rPr>
        <rFont val="Noto Sans CJK SC"/>
        <b/>
        <color theme="1"/>
        <sz val="11.0"/>
      </rPr>
      <t>｜ 粘贴后一行的格式示例（仅供参考，不要粘贴）</t>
    </r>
  </si>
  <si>
    <t>A1</t>
  </si>
  <si>
    <t>A2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</si>
  <si>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</si>
  <si>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</si>
  <si>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</si>
  <si>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</si>
  <si>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</si>
  <si>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</si>
  <si>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</si>
  <si>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</si>
  <si>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</si>
  <si>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</si>
  <si>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E1</t>
  </si>
  <si>
    <t>Yes</t>
  </si>
  <si>
    <t>(b) about 7%</t>
  </si>
  <si>
    <t>(a) Pay in full</t>
  </si>
  <si>
    <t>(b) Your emergency savings fall below the 3-month target, and you pay extra to borrow</t>
  </si>
  <si>
    <t>No</t>
  </si>
  <si>
    <t>The fee section was clear</t>
  </si>
  <si>
    <r>
      <rPr>
        <rFont val="Arial"/>
        <b/>
        <color theme="1"/>
        <sz val="14.0"/>
      </rPr>
      <t xml:space="preserve">Results for the report </t>
    </r>
    <r>
      <rPr>
        <rFont val="Noto Sans CJK SC"/>
        <b/>
        <color theme="1"/>
        <sz val="14.0"/>
      </rPr>
      <t>｜ 报告用结果</t>
    </r>
  </si>
  <si>
    <r>
      <rPr>
        <rFont val="Arial"/>
        <b/>
        <color rgb="FFFFFFFF"/>
        <sz val="11.0"/>
      </rPr>
      <t xml:space="preserve">Main result </t>
    </r>
    <r>
      <rPr>
        <rFont val="Noto Sans CJK SC"/>
        <b/>
        <color rgb="FFFFFFFF"/>
        <sz val="11.0"/>
      </rPr>
      <t>｜ 主要结果</t>
    </r>
  </si>
  <si>
    <r>
      <rPr>
        <rFont val="Arial"/>
        <color theme="1"/>
        <sz val="11.0"/>
      </rPr>
      <t xml:space="preserve">Participants </t>
    </r>
    <r>
      <rPr>
        <rFont val="Noto Sans CJK SC"/>
        <color theme="1"/>
        <sz val="11.0"/>
      </rPr>
      <t>｜ 参与人数</t>
    </r>
  </si>
  <si>
    <t>Small sample (up to 8 classmates, one scenario): report as an early indication, not a general result.</t>
  </si>
  <si>
    <r>
      <rPr>
        <rFont val="Arial"/>
        <color theme="1"/>
        <sz val="11.0"/>
      </rPr>
      <t xml:space="preserve">Pass rate </t>
    </r>
    <r>
      <rPr>
        <rFont val="Noto Sans CJK SC"/>
        <color theme="1"/>
        <sz val="11.0"/>
      </rPr>
      <t>｜ 达标比例</t>
    </r>
  </si>
  <si>
    <r>
      <rPr>
        <rFont val="Arial"/>
        <color theme="1"/>
        <sz val="11.0"/>
      </rPr>
      <t xml:space="preserve">Target </t>
    </r>
    <r>
      <rPr>
        <rFont val="Noto Sans CJK SC"/>
        <color theme="1"/>
        <sz val="11.0"/>
      </rPr>
      <t>｜ 目标</t>
    </r>
  </si>
  <si>
    <r>
      <rPr>
        <rFont val="Arial"/>
        <color theme="1"/>
        <sz val="11.0"/>
      </rPr>
      <t xml:space="preserve">Target met? </t>
    </r>
    <r>
      <rPr>
        <rFont val="Noto Sans CJK SC"/>
        <color theme="1"/>
        <sz val="11.0"/>
      </rPr>
      <t>｜ 是否达到目标</t>
    </r>
  </si>
  <si>
    <r>
      <rPr>
        <rFont val="Arial"/>
        <b/>
        <color rgb="FFFFFFFF"/>
        <sz val="11.0"/>
      </rPr>
      <t xml:space="preserve">Accuracy per question </t>
    </r>
    <r>
      <rPr>
        <rFont val="Noto Sans CJK SC"/>
        <b/>
        <color rgb="FFFFFFFF"/>
        <sz val="11.0"/>
      </rPr>
      <t>｜ 各题正确率</t>
    </r>
  </si>
  <si>
    <t>C1 Total paid</t>
  </si>
  <si>
    <t>C2 Monthly payment</t>
  </si>
  <si>
    <t>C3 Emergency runway</t>
  </si>
  <si>
    <t>C4 Option not possible</t>
  </si>
  <si>
    <t>C5 Main risk of instalments</t>
  </si>
  <si>
    <r>
      <rPr>
        <rFont val="Arial"/>
        <color theme="1"/>
        <sz val="11.0"/>
      </rPr>
      <t xml:space="preserve">Average core score (of 5) </t>
    </r>
    <r>
      <rPr>
        <rFont val="Noto Sans CJK SC"/>
        <color theme="1"/>
        <sz val="11.0"/>
      </rPr>
      <t>｜ 平均核心得分</t>
    </r>
  </si>
  <si>
    <r>
      <rPr>
        <rFont val="Arial"/>
        <b/>
        <color rgb="FFFFFFFF"/>
        <sz val="11.0"/>
      </rPr>
      <t xml:space="preserve">Hidden cost: before vs after </t>
    </r>
    <r>
      <rPr>
        <rFont val="Noto Sans CJK SC"/>
        <b/>
        <color rgb="FFFFFFFF"/>
        <sz val="11.0"/>
      </rPr>
      <t>｜ 隐藏成本：使用前后对比</t>
    </r>
  </si>
  <si>
    <r>
      <rPr>
        <rFont val="Arial"/>
        <color theme="1"/>
        <sz val="11.0"/>
      </rPr>
      <t xml:space="preserve">Before: knew 0.6%/month ≈ 14% a year (A2) </t>
    </r>
    <r>
      <rPr>
        <rFont val="Noto Sans CJK SC"/>
        <color theme="1"/>
        <sz val="11.0"/>
      </rPr>
      <t>｜ 使用前答对</t>
    </r>
  </si>
  <si>
    <r>
      <rPr>
        <rFont val="Arial"/>
        <color theme="1"/>
        <sz val="11.0"/>
      </rPr>
      <t xml:space="preserve">After: found the true yearly cost 13.84% (C6) </t>
    </r>
    <r>
      <rPr>
        <rFont val="Noto Sans CJK SC"/>
        <color theme="1"/>
        <sz val="11.0"/>
      </rPr>
      <t>｜ 使用后答对</t>
    </r>
  </si>
  <si>
    <r>
      <rPr>
        <rFont val="Arial"/>
        <b/>
        <color rgb="FFFFFFFF"/>
        <sz val="11.0"/>
      </rPr>
      <t xml:space="preserve">Experience </t>
    </r>
    <r>
      <rPr>
        <rFont val="Noto Sans CJK SC"/>
        <b/>
        <color rgb="FFFFFFFF"/>
        <sz val="11.0"/>
      </rPr>
      <t>｜ 使用体验</t>
    </r>
  </si>
  <si>
    <r>
      <rPr>
        <rFont val="Arial"/>
        <color theme="1"/>
        <sz val="11.0"/>
      </rPr>
      <t xml:space="preserve">Had used BNPL or instalments before (A1) </t>
    </r>
    <r>
      <rPr>
        <rFont val="Noto Sans CJK SC"/>
        <color theme="1"/>
        <sz val="11.0"/>
      </rPr>
      <t>｜ 用过分期</t>
    </r>
  </si>
  <si>
    <t>D1 Easy to understand, mean (1–5)</t>
  </si>
  <si>
    <t>D2 Trusted the numbers, mean (1–5)</t>
  </si>
  <si>
    <t>D3 Pause made me rethink, mean (1–5)</t>
  </si>
  <si>
    <r>
      <rPr>
        <rFont val="Arial"/>
        <color theme="1"/>
        <sz val="11.0"/>
      </rPr>
      <t xml:space="preserve">D4 Said the tool did NOT tell them what to choose </t>
    </r>
    <r>
      <rPr>
        <rFont val="Noto Sans CJK SC"/>
        <color theme="1"/>
        <sz val="11.0"/>
      </rPr>
      <t>｜ 认为工具没有替自己做决定</t>
    </r>
  </si>
  <si>
    <r>
      <rPr>
        <rFont val="Arial"/>
        <b/>
        <color theme="1"/>
        <sz val="14.0"/>
      </rPr>
      <t xml:space="preserve">Answer key and settings </t>
    </r>
    <r>
      <rPr>
        <rFont val="Noto Sans CJK SC"/>
        <b/>
        <color theme="1"/>
        <sz val="14.0"/>
      </rPr>
      <t>｜ 答案与设置</t>
    </r>
  </si>
  <si>
    <r>
      <rPr>
        <rFont val="Calibri"/>
        <color theme="1"/>
        <sz val="11.0"/>
      </rPr>
      <t xml:space="preserve">Blue values are editable. Numbers come from the fixed scenario (laptop SGD 6,000, 12 instalments, 0.6% per instalment) as calculated by the PauseBeforeBuy back end. </t>
    </r>
    <r>
      <rPr>
        <rFont val="Noto Sans CJK SC"/>
        <color theme="1"/>
        <sz val="11.0"/>
      </rPr>
      <t>｜ 蓝色数值可修改。数值来自固定场景，由后端计算器算出。</t>
    </r>
  </si>
  <si>
    <r>
      <rPr>
        <rFont val="Arial"/>
        <b/>
        <color rgb="FFFFFFFF"/>
        <sz val="11.0"/>
      </rPr>
      <t xml:space="preserve">Question </t>
    </r>
    <r>
      <rPr>
        <rFont val="Noto Sans CJK SC"/>
        <b/>
        <color rgb="FFFFFFFF"/>
        <sz val="11.0"/>
      </rPr>
      <t>｜ 题目</t>
    </r>
  </si>
  <si>
    <r>
      <rPr>
        <rFont val="Arial"/>
        <b/>
        <color rgb="FFFFFFFF"/>
        <sz val="11.0"/>
      </rPr>
      <t xml:space="preserve">What counts as correct </t>
    </r>
    <r>
      <rPr>
        <rFont val="Noto Sans CJK SC"/>
        <b/>
        <color rgb="FFFFFFFF"/>
        <sz val="11.0"/>
      </rPr>
      <t>｜ 判定方式</t>
    </r>
  </si>
  <si>
    <r>
      <rPr>
        <rFont val="Arial"/>
        <b/>
        <color rgb="FFFFFFFF"/>
        <sz val="11.0"/>
      </rPr>
      <t xml:space="preserve">Correct value or keyword </t>
    </r>
    <r>
      <rPr>
        <rFont val="Noto Sans CJK SC"/>
        <b/>
        <color rgb="FFFFFFFF"/>
        <sz val="11.0"/>
      </rPr>
      <t>｜ 正确值或关键词</t>
    </r>
  </si>
  <si>
    <r>
      <rPr>
        <rFont val="Arial"/>
        <b/>
        <color rgb="FFFFFFFF"/>
        <sz val="11.0"/>
      </rPr>
      <t xml:space="preserve">Tolerance ± </t>
    </r>
    <r>
      <rPr>
        <rFont val="Noto Sans CJK SC"/>
        <b/>
        <color rgb="FFFFFFFF"/>
        <sz val="11.0"/>
      </rPr>
      <t>｜ 允许误差</t>
    </r>
  </si>
  <si>
    <r>
      <rPr>
        <rFont val="Arial"/>
        <b/>
        <color rgb="FFFFFFFF"/>
        <sz val="11.0"/>
      </rPr>
      <t xml:space="preserve">Note </t>
    </r>
    <r>
      <rPr>
        <rFont val="Noto Sans CJK SC"/>
        <b/>
        <color rgb="FFFFFFFF"/>
        <sz val="11.0"/>
      </rPr>
      <t>｜ 说明</t>
    </r>
  </si>
  <si>
    <t>A2 Yearly cost of 0.6%/month (before)</t>
  </si>
  <si>
    <t>Option text contains keyword</t>
  </si>
  <si>
    <t>14</t>
  </si>
  <si>
    <t>Correct option: about 14%</t>
  </si>
  <si>
    <t>C1 Total paid with instalments</t>
  </si>
  <si>
    <t>Number within tolerance</t>
  </si>
  <si>
    <t>SGD</t>
  </si>
  <si>
    <t>C3 Months savings cover during plan</t>
  </si>
  <si>
    <t>months</t>
  </si>
  <si>
    <t>full</t>
  </si>
  <si>
    <t>Pay in full</t>
  </si>
  <si>
    <t>emergency</t>
  </si>
  <si>
    <t>Emergency savings below target + extra cost</t>
  </si>
  <si>
    <t>C6 True yearly cost (after)</t>
  </si>
  <si>
    <t>Number within tolerance (13.84 or 0.1384 both accepted)</t>
  </si>
  <si>
    <t>%</t>
  </si>
  <si>
    <r>
      <rPr>
        <rFont val="Arial"/>
        <b/>
        <color theme="1"/>
        <sz val="11.0"/>
      </rPr>
      <t xml:space="preserve">Core questions correct needed to pass (of C1–C5) </t>
    </r>
    <r>
      <rPr>
        <rFont val="Noto Sans CJK SC"/>
        <b/>
        <color theme="1"/>
        <sz val="11.0"/>
      </rPr>
      <t>｜ 达标所需的核心题答对数</t>
    </r>
  </si>
  <si>
    <t>Assumption: at least 4 of the 5 core items</t>
  </si>
  <si>
    <r>
      <rPr>
        <rFont val="Arial"/>
        <b/>
        <color theme="1"/>
        <sz val="11.0"/>
      </rPr>
      <t xml:space="preserve">Target share of participants who pass </t>
    </r>
    <r>
      <rPr>
        <rFont val="Noto Sans CJK SC"/>
        <b/>
        <color theme="1"/>
        <sz val="11.0"/>
      </rPr>
      <t>｜ 目标达标比例</t>
    </r>
  </si>
  <si>
    <t>From the Problem Statement, Section 7</t>
  </si>
  <si>
    <r>
      <rPr>
        <rFont val="Arial"/>
        <b/>
        <color theme="1"/>
        <sz val="14.0"/>
      </rPr>
      <t xml:space="preserve">Paste Google Forms answers into the yellow area, starting at B5 </t>
    </r>
    <r>
      <rPr>
        <rFont val="Noto Sans CJK SC"/>
        <b/>
        <color theme="1"/>
        <sz val="14.0"/>
      </rPr>
      <t xml:space="preserve">｜ 把 </t>
    </r>
    <r>
      <rPr>
        <rFont val="Arial"/>
        <b/>
        <color theme="1"/>
        <sz val="14.0"/>
      </rPr>
      <t xml:space="preserve">Google Forms </t>
    </r>
    <r>
      <rPr>
        <rFont val="Noto Sans CJK SC"/>
        <b/>
        <color theme="1"/>
        <sz val="14.0"/>
      </rPr>
      <t xml:space="preserve">的答案粘贴到黄色区域，从 </t>
    </r>
    <r>
      <rPr>
        <rFont val="Arial"/>
        <b/>
        <color theme="1"/>
        <sz val="14.0"/>
      </rPr>
      <t xml:space="preserve">B5 </t>
    </r>
    <r>
      <rPr>
        <rFont val="Noto Sans CJK SC"/>
        <b/>
        <color theme="1"/>
        <sz val="14.0"/>
      </rPr>
      <t>开始</t>
    </r>
  </si>
  <si>
    <r>
      <rPr>
        <rFont val="Calibri"/>
        <color theme="1"/>
        <sz val="11.0"/>
      </rPr>
      <t xml:space="preserve">Participant IDs appear automatically. Leave unused rows empty. Up to 20 participants. </t>
    </r>
    <r>
      <rPr>
        <rFont val="Noto Sans CJK SC"/>
        <color theme="1"/>
        <sz val="11.0"/>
      </rPr>
      <t xml:space="preserve">｜ 编号自动生成，空行留空，最多 </t>
    </r>
    <r>
      <rPr>
        <rFont val="Calibri"/>
        <color theme="1"/>
        <sz val="11.0"/>
      </rPr>
      <t xml:space="preserve">20 </t>
    </r>
    <r>
      <rPr>
        <rFont val="Noto Sans CJK SC"/>
        <color theme="1"/>
        <sz val="11.0"/>
      </rPr>
      <t>人。</t>
    </r>
  </si>
  <si>
    <t>ID</t>
  </si>
  <si>
    <t>A1 Used BNPL / instalments</t>
  </si>
  <si>
    <t>A2 Guess: yearly cost of 0.6%/month</t>
  </si>
  <si>
    <t>C1 Total paid (SGD)</t>
  </si>
  <si>
    <t>C2 Monthly payment (SGD)</t>
  </si>
  <si>
    <t>C3 Runway during plan (months)</t>
  </si>
  <si>
    <t>C6 True yearly cost (%)</t>
  </si>
  <si>
    <t>D1 Easy to understand (1–5)</t>
  </si>
  <si>
    <t>D2 Trusted the numbers (1–5)</t>
  </si>
  <si>
    <t>D3 Pause made me rethink (1–5)</t>
  </si>
  <si>
    <t>D4 Told me what to choose?</t>
  </si>
  <si>
    <t>E1 Comments</t>
  </si>
  <si>
    <t>Yes 是</t>
  </si>
  <si>
    <t>(b) about 7% 约 7%</t>
  </si>
  <si>
    <t>(a) Pay in full 一次付清</t>
  </si>
  <si>
    <t>(b) Your emergency savings fall below the 3-month target, and you pay extra to borrow 应急储蓄低于 3 个月目标，还要多付借贷成本</t>
  </si>
  <si>
    <t>No 没有</t>
  </si>
  <si>
    <t>No 否</t>
  </si>
  <si>
    <t>Not sure 不确定</t>
  </si>
  <si>
    <t>(c) about 14% 约 14%</t>
  </si>
  <si>
    <t>Yes 有</t>
  </si>
  <si>
    <t>字有点多 直接建议接我选哪个方案就好</t>
  </si>
  <si>
    <t>(d) There is no real risk 没有实际风险</t>
  </si>
  <si>
    <t>"Savings would cover" is not self explainatory, hence i felt it could be well explained</t>
  </si>
  <si>
    <t>可以建立自己的记账本，让多笔大开销共同去影响你的分期决策</t>
  </si>
  <si>
    <t>(a) about 0.6% 约 0.6%</t>
  </si>
  <si>
    <t>(d) Not sure 不确定</t>
  </si>
  <si>
    <r>
      <rPr>
        <rFont val="Arial"/>
        <b/>
        <color theme="1"/>
        <sz val="14.0"/>
      </rPr>
      <t xml:space="preserve">Per-participant scoring (automatic) </t>
    </r>
    <r>
      <rPr>
        <rFont val="Noto Sans CJK SC"/>
        <b/>
        <color theme="1"/>
        <sz val="14.0"/>
      </rPr>
      <t>｜ 逐人评分（自动）</t>
    </r>
  </si>
  <si>
    <r>
      <rPr>
        <rFont val="Calibri"/>
        <color theme="1"/>
        <sz val="11.0"/>
      </rPr>
      <t xml:space="preserve">1 = correct, 0 = wrong or blank. Core score counts C1–C5. </t>
    </r>
    <r>
      <rPr>
        <rFont val="Noto Sans CJK SC"/>
        <color theme="1"/>
        <sz val="11.0"/>
      </rPr>
      <t xml:space="preserve">｜ </t>
    </r>
    <r>
      <rPr>
        <rFont val="Calibri"/>
        <color theme="1"/>
        <sz val="11.0"/>
      </rPr>
      <t xml:space="preserve">1 = </t>
    </r>
    <r>
      <rPr>
        <rFont val="Noto Sans CJK SC"/>
        <color theme="1"/>
        <sz val="11.0"/>
      </rPr>
      <t>正确，</t>
    </r>
    <r>
      <rPr>
        <rFont val="Calibri"/>
        <color theme="1"/>
        <sz val="11.0"/>
      </rPr>
      <t xml:space="preserve">0 = </t>
    </r>
    <r>
      <rPr>
        <rFont val="Noto Sans CJK SC"/>
        <color theme="1"/>
        <sz val="11.0"/>
      </rPr>
      <t xml:space="preserve">错误或未答。核心得分统计 </t>
    </r>
    <r>
      <rPr>
        <rFont val="Calibri"/>
        <color theme="1"/>
        <sz val="11.0"/>
      </rPr>
      <t>C1–C5</t>
    </r>
    <r>
      <rPr>
        <rFont val="Noto Sans CJK SC"/>
        <color theme="1"/>
        <sz val="11.0"/>
      </rPr>
      <t>。</t>
    </r>
  </si>
  <si>
    <t>C1 total</t>
  </si>
  <si>
    <t>C2 monthly</t>
  </si>
  <si>
    <t>C3 runway</t>
  </si>
  <si>
    <t>C4 not possible</t>
  </si>
  <si>
    <t>C5 main risk</t>
  </si>
  <si>
    <t>Core score (of 5)</t>
  </si>
  <si>
    <t>Passed</t>
  </si>
  <si>
    <t>C6 true cost (after)</t>
  </si>
  <si>
    <t>A2 true cost (before)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</si>
</sst>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1.0"/>
      <color theme="1"/>
      <name val="Calibri"/>
      <scheme val="minor"/>
    </font>
    <font>
      <b/>
      <sz val="14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FFFFFF"/>
      <name val="Arial"/>
    </font>
    <font>
      <sz val="11.0"/>
      <color theme="1"/>
      <name val="Calibri"/>
    </font>
    <font>
      <sz val="11.0"/>
      <color rgb="FF008000"/>
      <name val="Arial"/>
    </font>
    <font>
      <sz val="11.0"/>
      <color rgb="FF0000FF"/>
      <name val="Arial"/>
    </font>
    <font>
      <color theme="1"/>
      <name val="Calibri"/>
      <scheme val="minor"/>
    </font>
    <font>
      <color rgb="FF434343"/>
      <name val="Roboto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4468A"/>
        <bgColor rgb="FF54468A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0">
    <border/>
    <border>
      <left/>
      <right/>
      <top/>
      <bottom/>
    </border>
    <border>
      <left style="thin">
        <color rgb="FFD5D8E2"/>
      </left>
      <right style="thin">
        <color rgb="FFD5D8E2"/>
      </right>
      <top style="thin">
        <color rgb="FFD5D8E2"/>
      </top>
      <bottom style="thin">
        <color rgb="FFD5D8E2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horizontal="center" shrinkToFit="0" vertical="center" wrapText="0"/>
    </xf>
    <xf borderId="2" fillId="0" fontId="2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1" fillId="2" fontId="5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2" fillId="0" fontId="6" numFmtId="1" xfId="0" applyAlignment="1" applyBorder="1" applyFont="1" applyNumberFormat="1">
      <alignment horizontal="center" shrinkToFit="0" vertical="center" wrapText="0"/>
    </xf>
    <xf borderId="0" fillId="0" fontId="5" numFmtId="0" xfId="0" applyAlignment="1" applyFont="1">
      <alignment shrinkToFit="0" vertical="top" wrapText="1"/>
    </xf>
    <xf borderId="2" fillId="0" fontId="6" numFmtId="9" xfId="0" applyAlignment="1" applyBorder="1" applyFont="1" applyNumberFormat="1">
      <alignment horizontal="center" shrinkToFit="0" vertical="center" wrapText="0"/>
    </xf>
    <xf borderId="2" fillId="0" fontId="6" numFmtId="0" xfId="0" applyAlignment="1" applyBorder="1" applyFont="1">
      <alignment horizontal="center" shrinkToFit="0" vertical="center" wrapText="0"/>
    </xf>
    <xf borderId="2" fillId="0" fontId="6" numFmtId="164" xfId="0" applyAlignment="1" applyBorder="1" applyFont="1" applyNumberFormat="1">
      <alignment horizontal="center" shrinkToFit="0" vertical="center" wrapText="0"/>
    </xf>
    <xf borderId="1" fillId="2" fontId="4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2" fillId="0" fontId="7" numFmtId="0" xfId="0" applyAlignment="1" applyBorder="1" applyFont="1">
      <alignment shrinkToFit="0" vertical="top" wrapText="1"/>
    </xf>
    <xf borderId="0" fillId="0" fontId="3" numFmtId="0" xfId="0" applyAlignment="1" applyFont="1">
      <alignment shrinkToFit="0" vertical="bottom" wrapText="0"/>
    </xf>
    <xf borderId="2" fillId="3" fontId="7" numFmtId="0" xfId="0" applyAlignment="1" applyBorder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3" fontId="7" numFmtId="9" xfId="0" applyAlignment="1" applyBorder="1" applyFill="1" applyFont="1" applyNumberFormat="1">
      <alignment shrinkToFit="0" vertical="bottom" wrapText="0"/>
    </xf>
    <xf borderId="0" fillId="0" fontId="8" numFmtId="0" xfId="0" applyFont="1"/>
    <xf borderId="1" fillId="2" fontId="4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horizontal="center" shrinkToFit="0" vertical="center" wrapText="0"/>
    </xf>
    <xf borderId="3" fillId="4" fontId="9" numFmtId="0" xfId="0" applyAlignment="1" applyBorder="1" applyFill="1" applyFont="1">
      <alignment shrinkToFit="0" wrapText="0"/>
    </xf>
    <xf borderId="3" fillId="4" fontId="9" numFmtId="0" xfId="0" applyAlignment="1" applyBorder="1" applyFill="1" applyFont="1">
      <alignment shrinkToFit="0" wrapText="0"/>
    </xf>
    <xf borderId="3" fillId="4" fontId="9" numFmtId="0" xfId="0" applyAlignment="1" applyBorder="1" applyFill="1" applyFont="1">
      <alignment horizontal="right" shrinkToFit="0" wrapText="0"/>
    </xf>
    <xf borderId="4" fillId="5" fontId="9" numFmtId="0" xfId="0" applyAlignment="1" applyBorder="1" applyFill="1" applyFont="1">
      <alignment shrinkToFit="0" wrapText="0"/>
    </xf>
    <xf borderId="4" fillId="5" fontId="9" numFmtId="0" xfId="0" applyAlignment="1" applyBorder="1" applyFill="1" applyFont="1">
      <alignment horizontal="right" shrinkToFit="0" wrapText="0"/>
    </xf>
    <xf borderId="5" fillId="5" fontId="10" numFmtId="0" xfId="0" applyBorder="1" applyFill="1" applyFont="1"/>
    <xf borderId="6" fillId="4" fontId="9" numFmtId="0" xfId="0" applyAlignment="1" applyBorder="1" applyFill="1" applyFont="1">
      <alignment shrinkToFit="0" wrapText="0"/>
    </xf>
    <xf borderId="6" fillId="4" fontId="9" numFmtId="0" xfId="0" applyAlignment="1" applyBorder="1" applyFill="1" applyFont="1">
      <alignment horizontal="right" shrinkToFit="0" wrapText="0"/>
    </xf>
    <xf borderId="7" fillId="4" fontId="9" numFmtId="0" xfId="0" applyAlignment="1" applyBorder="1" applyFill="1" applyFont="1">
      <alignment shrinkToFit="0" wrapText="0"/>
    </xf>
    <xf borderId="5" fillId="5" fontId="9" numFmtId="0" xfId="0" applyAlignment="1" applyBorder="1" applyFill="1" applyFont="1">
      <alignment shrinkToFit="0" wrapText="0"/>
    </xf>
    <xf borderId="7" fillId="4" fontId="10" numFmtId="0" xfId="0" applyBorder="1" applyFill="1" applyFont="1"/>
    <xf borderId="8" fillId="5" fontId="9" numFmtId="0" xfId="0" applyAlignment="1" applyBorder="1" applyFill="1" applyFont="1">
      <alignment shrinkToFit="0" wrapText="0"/>
    </xf>
    <xf borderId="8" fillId="5" fontId="9" numFmtId="0" xfId="0" applyAlignment="1" applyBorder="1" applyFill="1" applyFont="1">
      <alignment horizontal="right" shrinkToFit="0" wrapText="0"/>
    </xf>
    <xf borderId="9" fillId="5" fontId="10" numFmtId="0" xfId="0" applyBorder="1" applyFill="1" applyFont="1"/>
    <xf borderId="0" fillId="0" fontId="6" numFmtId="0" xfId="0" applyAlignment="1" applyFont="1">
      <alignment horizontal="center" shrinkToFit="0" vertical="center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Response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5:M12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Respo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0.0"/>
    <col customWidth="1" min="2" max="14" width="14.0"/>
    <col customWidth="1" min="15" max="26" width="8.71"/>
  </cols>
  <sheetData>
    <row r="1">
      <c r="A1" s="1" t="s">
        <v>0</v>
      </c>
    </row>
    <row r="2">
      <c r="A2" s="2"/>
    </row>
    <row r="3">
      <c r="A3" s="3" t="s">
        <v>1</v>
      </c>
    </row>
    <row r="4">
      <c r="A4" s="2" t="s">
        <v>2</v>
      </c>
    </row>
    <row r="5">
      <c r="A5" s="2" t="s">
        <v>3</v>
      </c>
    </row>
    <row r="6">
      <c r="A6" s="2" t="s">
        <v>4</v>
      </c>
    </row>
    <row r="7">
      <c r="A7" s="2" t="s">
        <v>5</v>
      </c>
    </row>
    <row r="8">
      <c r="A8" s="2"/>
    </row>
    <row r="9">
      <c r="A9" s="3" t="s">
        <v>6</v>
      </c>
    </row>
    <row r="10">
      <c r="A10" s="2" t="s">
        <v>7</v>
      </c>
    </row>
    <row r="11">
      <c r="A11" s="2" t="s">
        <v>8</v>
      </c>
    </row>
    <row r="12">
      <c r="A12" s="2" t="s">
        <v>9</v>
      </c>
    </row>
    <row r="13">
      <c r="A13" s="2" t="s">
        <v>10</v>
      </c>
    </row>
    <row r="14">
      <c r="A14" s="2" t="s">
        <v>11</v>
      </c>
    </row>
    <row r="15">
      <c r="A15" s="2"/>
    </row>
    <row r="16">
      <c r="A16" s="3" t="s">
        <v>12</v>
      </c>
    </row>
    <row r="17">
      <c r="B17" s="4" t="s">
        <v>13</v>
      </c>
      <c r="C17" s="4" t="s">
        <v>14</v>
      </c>
      <c r="D17" s="4" t="s">
        <v>15</v>
      </c>
      <c r="E17" s="4" t="s">
        <v>16</v>
      </c>
      <c r="F17" s="4" t="s">
        <v>17</v>
      </c>
      <c r="G17" s="4" t="s">
        <v>18</v>
      </c>
      <c r="H17" s="4" t="s">
        <v>19</v>
      </c>
      <c r="I17" s="4" t="s">
        <v>20</v>
      </c>
      <c r="J17" s="4" t="s">
        <v>21</v>
      </c>
      <c r="K17" s="4" t="s">
        <v>22</v>
      </c>
      <c r="L17" s="4" t="s">
        <v>23</v>
      </c>
      <c r="M17" s="4" t="s">
        <v>24</v>
      </c>
      <c r="N17" s="4" t="s">
        <v>25</v>
      </c>
    </row>
    <row r="18">
      <c r="B18" s="5" t="s">
        <v>26</v>
      </c>
      <c r="C18" s="5" t="s">
        <v>27</v>
      </c>
      <c r="D18" s="5">
        <v>6432.0</v>
      </c>
      <c r="E18" s="5">
        <v>536.0</v>
      </c>
      <c r="F18" s="5">
        <v>1.65</v>
      </c>
      <c r="G18" s="5" t="s">
        <v>28</v>
      </c>
      <c r="H18" s="5" t="s">
        <v>29</v>
      </c>
      <c r="I18" s="5">
        <v>13.84</v>
      </c>
      <c r="J18" s="5">
        <v>4.0</v>
      </c>
      <c r="K18" s="5">
        <v>5.0</v>
      </c>
      <c r="L18" s="5">
        <v>4.0</v>
      </c>
      <c r="M18" s="5" t="s">
        <v>30</v>
      </c>
      <c r="N18" s="5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2.14"/>
    <col customWidth="1" min="2" max="2" width="14.0"/>
    <col customWidth="1" min="3" max="3" width="8.71"/>
    <col customWidth="1" min="4" max="4" width="50.0"/>
    <col customWidth="1" min="5" max="26" width="8.71"/>
  </cols>
  <sheetData>
    <row r="1">
      <c r="A1" s="6" t="s">
        <v>32</v>
      </c>
    </row>
    <row r="2">
      <c r="A2" s="7" t="s">
        <v>33</v>
      </c>
      <c r="B2" s="8"/>
    </row>
    <row r="3">
      <c r="A3" s="9" t="s">
        <v>34</v>
      </c>
      <c r="B3" s="10">
        <f>COUNT(Scoring!G5:G24)</f>
        <v>8</v>
      </c>
      <c r="D3" s="11" t="s">
        <v>35</v>
      </c>
    </row>
    <row r="4">
      <c r="A4" s="9" t="str">
        <f>"Passed: at least "&amp;Key!C13&amp;" of 5 core questions correct ｜ 达标人数"</f>
        <v>Passed: at least 4 of 5 core questions correct ｜ 达标人数</v>
      </c>
      <c r="B4" s="10">
        <f>SUM(Scoring!H5:H24)</f>
        <v>4</v>
      </c>
    </row>
    <row r="5">
      <c r="A5" s="9" t="s">
        <v>36</v>
      </c>
      <c r="B5" s="12">
        <f>IF(B3=0,"",B4/B3)</f>
        <v>0.5</v>
      </c>
    </row>
    <row r="6">
      <c r="A6" s="9" t="s">
        <v>37</v>
      </c>
      <c r="B6" s="12">
        <f>Key!C14</f>
        <v>0.7</v>
      </c>
    </row>
    <row r="7">
      <c r="A7" s="9" t="s">
        <v>38</v>
      </c>
      <c r="B7" s="13" t="str">
        <f>IF(B5="","",IF(B5&gt;=B6,"Yes","No"))</f>
        <v>No</v>
      </c>
    </row>
    <row r="8">
      <c r="A8" s="9"/>
    </row>
    <row r="9">
      <c r="A9" s="7" t="s">
        <v>39</v>
      </c>
      <c r="B9" s="8"/>
    </row>
    <row r="10">
      <c r="A10" s="9" t="s">
        <v>40</v>
      </c>
      <c r="B10" s="12">
        <f>IF($B$3=0,"",SUM(Scoring!B5:B24)/$B$3)</f>
        <v>0.5</v>
      </c>
    </row>
    <row r="11">
      <c r="A11" s="9" t="s">
        <v>41</v>
      </c>
      <c r="B11" s="12">
        <f>IF($B$3=0,"",SUM(Scoring!C5:C24)/$B$3)</f>
        <v>0.5</v>
      </c>
    </row>
    <row r="12">
      <c r="A12" s="9" t="s">
        <v>42</v>
      </c>
      <c r="B12" s="12">
        <f>IF($B$3=0,"",SUM(Scoring!D5:D24)/$B$3)</f>
        <v>0.375</v>
      </c>
    </row>
    <row r="13">
      <c r="A13" s="9" t="s">
        <v>43</v>
      </c>
      <c r="B13" s="12">
        <f>IF($B$3=0,"",SUM(Scoring!E5:E24)/$B$3)</f>
        <v>1</v>
      </c>
    </row>
    <row r="14">
      <c r="A14" s="9" t="s">
        <v>44</v>
      </c>
      <c r="B14" s="12">
        <f>IF($B$3=0,"",SUM(Scoring!F5:F24)/$B$3)</f>
        <v>0.75</v>
      </c>
    </row>
    <row r="15">
      <c r="A15" s="9" t="s">
        <v>45</v>
      </c>
      <c r="B15" s="14">
        <f>IFERROR(AVERAGE(Scoring!G5:G24),"")</f>
        <v>3.125</v>
      </c>
    </row>
    <row r="16">
      <c r="A16" s="9"/>
    </row>
    <row r="17">
      <c r="A17" s="7" t="s">
        <v>46</v>
      </c>
      <c r="B17" s="8"/>
    </row>
    <row r="18">
      <c r="A18" s="9" t="s">
        <v>47</v>
      </c>
      <c r="B18" s="10">
        <f>SUM(Scoring!J5:J24)</f>
        <v>2</v>
      </c>
    </row>
    <row r="19">
      <c r="A19" s="9" t="s">
        <v>48</v>
      </c>
      <c r="B19" s="10">
        <f>SUM(Scoring!I5:I24)</f>
        <v>4</v>
      </c>
    </row>
    <row r="20">
      <c r="A20" s="9"/>
    </row>
    <row r="21" ht="15.75" customHeight="1">
      <c r="A21" s="7" t="s">
        <v>49</v>
      </c>
      <c r="B21" s="8"/>
    </row>
    <row r="22" ht="15.75" customHeight="1">
      <c r="A22" s="9" t="s">
        <v>50</v>
      </c>
      <c r="B22" s="10">
        <f>COUNTIF(Responses!B5:B24,"Yes*")</f>
        <v>6</v>
      </c>
    </row>
    <row r="23" ht="15.75" customHeight="1">
      <c r="A23" s="9" t="s">
        <v>51</v>
      </c>
      <c r="B23" s="14">
        <f>IFERROR(AVERAGE(Responses!J5:J24),"")</f>
        <v>4.25</v>
      </c>
    </row>
    <row r="24" ht="15.75" customHeight="1">
      <c r="A24" s="9" t="s">
        <v>52</v>
      </c>
      <c r="B24" s="14">
        <f>IFERROR(AVERAGE(Responses!K5:K24),"")</f>
        <v>4.375</v>
      </c>
    </row>
    <row r="25" ht="15.75" customHeight="1">
      <c r="A25" s="9" t="s">
        <v>53</v>
      </c>
      <c r="B25" s="14">
        <f>IFERROR(AVERAGE(Responses!L5:L24),"")</f>
        <v>4.75</v>
      </c>
    </row>
    <row r="26" ht="15.75" customHeight="1">
      <c r="A26" s="9" t="s">
        <v>54</v>
      </c>
      <c r="B26" s="12">
        <f>IF(COUNTA(Responses!M5:M24)=0,"",(COUNTIF(Responses!M5:M24,"No")+COUNTIF(Responses!M5:M24,"No *"))/COUNTA(Responses!M5:M24))</f>
        <v>0.375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34.0"/>
    <col customWidth="1" min="3" max="3" width="26.0"/>
    <col customWidth="1" min="4" max="4" width="16.0"/>
    <col customWidth="1" min="5" max="5" width="44.0"/>
    <col customWidth="1" min="6" max="26" width="8.71"/>
  </cols>
  <sheetData>
    <row r="1">
      <c r="A1" s="6" t="s">
        <v>55</v>
      </c>
    </row>
    <row r="2" ht="31.5" customHeight="1">
      <c r="A2" s="11" t="s">
        <v>56</v>
      </c>
    </row>
    <row r="4">
      <c r="A4" s="15" t="s">
        <v>57</v>
      </c>
      <c r="B4" s="15" t="s">
        <v>58</v>
      </c>
      <c r="C4" s="15" t="s">
        <v>59</v>
      </c>
      <c r="D4" s="15" t="s">
        <v>60</v>
      </c>
      <c r="E4" s="15" t="s">
        <v>61</v>
      </c>
    </row>
    <row r="5">
      <c r="A5" s="16" t="s">
        <v>62</v>
      </c>
      <c r="B5" s="16" t="s">
        <v>63</v>
      </c>
      <c r="C5" s="17" t="s">
        <v>64</v>
      </c>
      <c r="D5" s="16"/>
      <c r="E5" s="16" t="s">
        <v>65</v>
      </c>
    </row>
    <row r="6">
      <c r="A6" s="16" t="s">
        <v>66</v>
      </c>
      <c r="B6" s="16" t="s">
        <v>67</v>
      </c>
      <c r="C6" s="17">
        <v>6432.0</v>
      </c>
      <c r="D6" s="17">
        <v>1.0</v>
      </c>
      <c r="E6" s="16" t="s">
        <v>68</v>
      </c>
    </row>
    <row r="7">
      <c r="A7" s="16" t="s">
        <v>41</v>
      </c>
      <c r="B7" s="16" t="s">
        <v>67</v>
      </c>
      <c r="C7" s="17">
        <v>536.0</v>
      </c>
      <c r="D7" s="17">
        <v>1.0</v>
      </c>
      <c r="E7" s="16" t="s">
        <v>68</v>
      </c>
    </row>
    <row r="8">
      <c r="A8" s="16" t="s">
        <v>69</v>
      </c>
      <c r="B8" s="16" t="s">
        <v>67</v>
      </c>
      <c r="C8" s="17">
        <v>1.65</v>
      </c>
      <c r="D8" s="17">
        <v>0.05</v>
      </c>
      <c r="E8" s="16" t="s">
        <v>70</v>
      </c>
    </row>
    <row r="9">
      <c r="A9" s="16" t="s">
        <v>43</v>
      </c>
      <c r="B9" s="16" t="s">
        <v>63</v>
      </c>
      <c r="C9" s="17" t="s">
        <v>71</v>
      </c>
      <c r="D9" s="16"/>
      <c r="E9" s="16" t="s">
        <v>72</v>
      </c>
    </row>
    <row r="10">
      <c r="A10" s="16" t="s">
        <v>44</v>
      </c>
      <c r="B10" s="16" t="s">
        <v>63</v>
      </c>
      <c r="C10" s="17" t="s">
        <v>73</v>
      </c>
      <c r="D10" s="16"/>
      <c r="E10" s="16" t="s">
        <v>74</v>
      </c>
    </row>
    <row r="11">
      <c r="A11" s="16" t="s">
        <v>75</v>
      </c>
      <c r="B11" s="16" t="s">
        <v>76</v>
      </c>
      <c r="C11" s="17">
        <v>13.84</v>
      </c>
      <c r="D11" s="17">
        <v>0.1</v>
      </c>
      <c r="E11" s="16" t="s">
        <v>77</v>
      </c>
    </row>
    <row r="13">
      <c r="A13" s="18" t="s">
        <v>78</v>
      </c>
      <c r="C13" s="19">
        <v>4.0</v>
      </c>
      <c r="E13" s="20" t="s">
        <v>79</v>
      </c>
    </row>
    <row r="14">
      <c r="A14" s="18" t="s">
        <v>80</v>
      </c>
      <c r="C14" s="21">
        <v>0.7</v>
      </c>
      <c r="E14" s="20" t="s">
        <v>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6.0"/>
    <col customWidth="1" min="2" max="7" width="16.0"/>
    <col customWidth="1" min="8" max="8" width="30.0"/>
    <col customWidth="1" min="9" max="13" width="16.0"/>
    <col customWidth="1" min="14" max="14" width="30.0"/>
    <col customWidth="1" min="15" max="26" width="8.71"/>
  </cols>
  <sheetData>
    <row r="1">
      <c r="A1" s="6" t="s">
        <v>82</v>
      </c>
    </row>
    <row r="2">
      <c r="A2" s="22" t="s">
        <v>83</v>
      </c>
    </row>
    <row r="4" ht="43.5" customHeight="1">
      <c r="A4" s="23" t="s">
        <v>84</v>
      </c>
      <c r="B4" s="23" t="s">
        <v>85</v>
      </c>
      <c r="C4" s="23" t="s">
        <v>86</v>
      </c>
      <c r="D4" s="23" t="s">
        <v>87</v>
      </c>
      <c r="E4" s="23" t="s">
        <v>88</v>
      </c>
      <c r="F4" s="23" t="s">
        <v>89</v>
      </c>
      <c r="G4" s="23" t="s">
        <v>43</v>
      </c>
      <c r="H4" s="23" t="s">
        <v>44</v>
      </c>
      <c r="I4" s="23" t="s">
        <v>90</v>
      </c>
      <c r="J4" s="23" t="s">
        <v>91</v>
      </c>
      <c r="K4" s="23" t="s">
        <v>92</v>
      </c>
      <c r="L4" s="23" t="s">
        <v>93</v>
      </c>
      <c r="M4" s="23" t="s">
        <v>94</v>
      </c>
      <c r="N4" s="23" t="s">
        <v>95</v>
      </c>
    </row>
    <row r="5">
      <c r="A5" s="24" t="str">
        <f t="shared" ref="A5:A24" si="1">IF(COUNTA(B5:N5)=0,"","P"&amp;(ROW()-4))</f>
        <v>P1</v>
      </c>
      <c r="B5" s="25" t="s">
        <v>96</v>
      </c>
      <c r="C5" s="26" t="s">
        <v>97</v>
      </c>
      <c r="D5" s="27">
        <v>6432.0</v>
      </c>
      <c r="E5" s="27">
        <v>536.0</v>
      </c>
      <c r="F5" s="27">
        <v>1.65</v>
      </c>
      <c r="G5" s="26" t="s">
        <v>98</v>
      </c>
      <c r="H5" s="26" t="s">
        <v>99</v>
      </c>
      <c r="I5" s="27">
        <v>13.84</v>
      </c>
      <c r="J5" s="27">
        <v>4.0</v>
      </c>
      <c r="K5" s="27">
        <v>5.0</v>
      </c>
      <c r="L5" s="27">
        <v>5.0</v>
      </c>
      <c r="M5" s="26" t="s">
        <v>100</v>
      </c>
      <c r="N5" s="19"/>
    </row>
    <row r="6">
      <c r="A6" s="24" t="str">
        <f t="shared" si="1"/>
        <v>P2</v>
      </c>
      <c r="B6" s="28" t="s">
        <v>101</v>
      </c>
      <c r="C6" s="28" t="s">
        <v>97</v>
      </c>
      <c r="D6" s="29">
        <v>2000.0</v>
      </c>
      <c r="E6" s="29">
        <v>178.67</v>
      </c>
      <c r="F6" s="29">
        <v>2.55</v>
      </c>
      <c r="G6" s="28" t="s">
        <v>98</v>
      </c>
      <c r="H6" s="28" t="s">
        <v>99</v>
      </c>
      <c r="I6" s="29">
        <v>13.84</v>
      </c>
      <c r="J6" s="29">
        <v>3.0</v>
      </c>
      <c r="K6" s="29">
        <v>2.0</v>
      </c>
      <c r="L6" s="29">
        <v>5.0</v>
      </c>
      <c r="M6" s="28" t="s">
        <v>102</v>
      </c>
      <c r="N6" s="30"/>
    </row>
    <row r="7">
      <c r="A7" s="24" t="str">
        <f t="shared" si="1"/>
        <v>P3</v>
      </c>
      <c r="B7" s="31" t="s">
        <v>96</v>
      </c>
      <c r="C7" s="31" t="s">
        <v>103</v>
      </c>
      <c r="D7" s="32">
        <v>6432.0</v>
      </c>
      <c r="E7" s="32">
        <v>536.0</v>
      </c>
      <c r="F7" s="32">
        <v>1.65</v>
      </c>
      <c r="G7" s="31" t="s">
        <v>98</v>
      </c>
      <c r="H7" s="31" t="s">
        <v>99</v>
      </c>
      <c r="I7" s="32">
        <v>13.84</v>
      </c>
      <c r="J7" s="32">
        <v>4.0</v>
      </c>
      <c r="K7" s="32">
        <v>5.0</v>
      </c>
      <c r="L7" s="32">
        <v>5.0</v>
      </c>
      <c r="M7" s="31" t="s">
        <v>104</v>
      </c>
      <c r="N7" s="33" t="s">
        <v>105</v>
      </c>
    </row>
    <row r="8">
      <c r="A8" s="24" t="str">
        <f t="shared" si="1"/>
        <v>P4</v>
      </c>
      <c r="B8" s="28" t="s">
        <v>96</v>
      </c>
      <c r="C8" s="28" t="s">
        <v>97</v>
      </c>
      <c r="D8" s="29">
        <v>6648.0</v>
      </c>
      <c r="E8" s="29">
        <v>554.0</v>
      </c>
      <c r="F8" s="29">
        <v>12.0</v>
      </c>
      <c r="G8" s="28" t="s">
        <v>98</v>
      </c>
      <c r="H8" s="28" t="s">
        <v>106</v>
      </c>
      <c r="I8" s="29">
        <v>6648.0</v>
      </c>
      <c r="J8" s="29">
        <v>5.0</v>
      </c>
      <c r="K8" s="29">
        <v>5.0</v>
      </c>
      <c r="L8" s="29">
        <v>4.0</v>
      </c>
      <c r="M8" s="28" t="s">
        <v>100</v>
      </c>
      <c r="N8" s="34" t="s">
        <v>107</v>
      </c>
    </row>
    <row r="9">
      <c r="A9" s="24" t="str">
        <f t="shared" si="1"/>
        <v>P5</v>
      </c>
      <c r="B9" s="31" t="s">
        <v>96</v>
      </c>
      <c r="C9" s="31" t="s">
        <v>103</v>
      </c>
      <c r="D9" s="32">
        <v>6432.0</v>
      </c>
      <c r="E9" s="32">
        <v>536.0</v>
      </c>
      <c r="F9" s="32">
        <v>1.65</v>
      </c>
      <c r="G9" s="31" t="s">
        <v>98</v>
      </c>
      <c r="H9" s="31" t="s">
        <v>99</v>
      </c>
      <c r="I9" s="32">
        <v>13.84</v>
      </c>
      <c r="J9" s="32">
        <v>5.0</v>
      </c>
      <c r="K9" s="32">
        <v>5.0</v>
      </c>
      <c r="L9" s="32">
        <v>5.0</v>
      </c>
      <c r="M9" s="31" t="s">
        <v>104</v>
      </c>
      <c r="N9" s="33" t="s">
        <v>108</v>
      </c>
    </row>
    <row r="10">
      <c r="A10" s="24" t="str">
        <f t="shared" si="1"/>
        <v>P6</v>
      </c>
      <c r="B10" s="28" t="s">
        <v>96</v>
      </c>
      <c r="C10" s="28" t="s">
        <v>109</v>
      </c>
      <c r="D10" s="29">
        <v>6036.0</v>
      </c>
      <c r="E10" s="29">
        <v>503.0</v>
      </c>
      <c r="F10" s="29">
        <v>2.0</v>
      </c>
      <c r="G10" s="28" t="s">
        <v>98</v>
      </c>
      <c r="H10" s="28" t="s">
        <v>99</v>
      </c>
      <c r="I10" s="29">
        <v>1.1</v>
      </c>
      <c r="J10" s="29">
        <v>3.0</v>
      </c>
      <c r="K10" s="29">
        <v>3.0</v>
      </c>
      <c r="L10" s="29">
        <v>4.0</v>
      </c>
      <c r="M10" s="28" t="s">
        <v>104</v>
      </c>
      <c r="N10" s="30"/>
    </row>
    <row r="11">
      <c r="A11" s="24" t="str">
        <f t="shared" si="1"/>
        <v>P7</v>
      </c>
      <c r="B11" s="31" t="s">
        <v>96</v>
      </c>
      <c r="C11" s="31" t="s">
        <v>110</v>
      </c>
      <c r="D11" s="32">
        <v>50.0</v>
      </c>
      <c r="E11" s="32">
        <v>50.0</v>
      </c>
      <c r="F11" s="32">
        <v>19.0</v>
      </c>
      <c r="G11" s="31" t="s">
        <v>98</v>
      </c>
      <c r="H11" s="31" t="s">
        <v>106</v>
      </c>
      <c r="I11" s="32">
        <v>2.5</v>
      </c>
      <c r="J11" s="32">
        <v>5.0</v>
      </c>
      <c r="K11" s="32">
        <v>5.0</v>
      </c>
      <c r="L11" s="32">
        <v>5.0</v>
      </c>
      <c r="M11" s="31" t="s">
        <v>102</v>
      </c>
      <c r="N11" s="35"/>
    </row>
    <row r="12">
      <c r="A12" s="24" t="str">
        <f t="shared" si="1"/>
        <v>P8</v>
      </c>
      <c r="B12" s="36" t="s">
        <v>101</v>
      </c>
      <c r="C12" s="36" t="s">
        <v>97</v>
      </c>
      <c r="D12" s="37">
        <v>6432.0</v>
      </c>
      <c r="E12" s="37">
        <v>536.0</v>
      </c>
      <c r="F12" s="37">
        <v>2.27</v>
      </c>
      <c r="G12" s="36" t="s">
        <v>98</v>
      </c>
      <c r="H12" s="36" t="s">
        <v>99</v>
      </c>
      <c r="I12" s="37">
        <v>7.2</v>
      </c>
      <c r="J12" s="37">
        <v>5.0</v>
      </c>
      <c r="K12" s="37">
        <v>5.0</v>
      </c>
      <c r="L12" s="37">
        <v>5.0</v>
      </c>
      <c r="M12" s="36" t="s">
        <v>100</v>
      </c>
      <c r="N12" s="38"/>
    </row>
    <row r="13">
      <c r="A13" s="24" t="str">
        <f t="shared" si="1"/>
        <v/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>
      <c r="A14" s="24" t="str">
        <f t="shared" si="1"/>
        <v/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>
      <c r="A15" s="24" t="str">
        <f t="shared" si="1"/>
        <v/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>
      <c r="A16" s="24" t="str">
        <f t="shared" si="1"/>
        <v/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>
      <c r="A17" s="24" t="str">
        <f t="shared" si="1"/>
        <v/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>
      <c r="A18" s="24" t="str">
        <f t="shared" si="1"/>
        <v/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>
      <c r="A19" s="24" t="str">
        <f t="shared" si="1"/>
        <v/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>
      <c r="A20" s="24" t="str">
        <f t="shared" si="1"/>
        <v/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ht="15.75" customHeight="1">
      <c r="A21" s="24" t="str">
        <f t="shared" si="1"/>
        <v/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ht="15.75" customHeight="1">
      <c r="A22" s="24" t="str">
        <f t="shared" si="1"/>
        <v/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ht="15.75" customHeight="1">
      <c r="A23" s="24" t="str">
        <f t="shared" si="1"/>
        <v/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ht="15.75" customHeight="1">
      <c r="A24" s="24" t="str">
        <f t="shared" si="1"/>
        <v/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6.0"/>
    <col customWidth="1" min="2" max="2" width="10.0"/>
    <col customWidth="1" min="3" max="4" width="11.0"/>
    <col customWidth="1" min="5" max="5" width="14.0"/>
    <col customWidth="1" min="6" max="6" width="13.0"/>
    <col customWidth="1" min="7" max="7" width="14.0"/>
    <col customWidth="1" min="8" max="8" width="9.0"/>
    <col customWidth="1" min="9" max="9" width="16.0"/>
    <col customWidth="1" min="10" max="10" width="17.0"/>
    <col customWidth="1" min="11" max="26" width="8.71"/>
  </cols>
  <sheetData>
    <row r="1">
      <c r="A1" s="6" t="s">
        <v>111</v>
      </c>
    </row>
    <row r="2">
      <c r="A2" s="22" t="s">
        <v>112</v>
      </c>
    </row>
    <row r="4" ht="31.5" customHeight="1">
      <c r="A4" s="23" t="s">
        <v>84</v>
      </c>
      <c r="B4" s="23" t="s">
        <v>113</v>
      </c>
      <c r="C4" s="23" t="s">
        <v>114</v>
      </c>
      <c r="D4" s="23" t="s">
        <v>115</v>
      </c>
      <c r="E4" s="23" t="s">
        <v>116</v>
      </c>
      <c r="F4" s="23" t="s">
        <v>117</v>
      </c>
      <c r="G4" s="23" t="s">
        <v>118</v>
      </c>
      <c r="H4" s="23" t="s">
        <v>119</v>
      </c>
      <c r="I4" s="23" t="s">
        <v>120</v>
      </c>
      <c r="J4" s="23" t="s">
        <v>121</v>
      </c>
    </row>
    <row r="5">
      <c r="A5" s="39" t="str">
        <f>Responses!$A5</f>
        <v>P1</v>
      </c>
      <c r="B5" s="24">
        <f>IF(Responses!$A5="","",IF(IFERROR(ABS(VALUE(SUBSTITUTE(SUBSTITUTE(Responses!D5,",",""),"%",""))-Key!$C$6)&lt;=Key!$D$6+0.000001,FALSE()),1,0))</f>
        <v>1</v>
      </c>
      <c r="C5" s="24">
        <f>IF(Responses!$A5="","",IF(IFERROR(ABS(VALUE(SUBSTITUTE(SUBSTITUTE(Responses!E5,",",""),"%",""))-Key!$C$7)&lt;=Key!$D$7+0.000001,FALSE()),1,0))</f>
        <v>1</v>
      </c>
      <c r="D5" s="24">
        <f>IF(Responses!$A5="","",IF(IFERROR(ABS(VALUE(SUBSTITUTE(SUBSTITUTE(Responses!F5,",",""),"%",""))-Key!$C$8)&lt;=Key!$D$8+0.000001,FALSE()),1,0))</f>
        <v>1</v>
      </c>
      <c r="E5" s="24">
        <f>IF(Responses!$A5="","",IF(ISNUMBER(SEARCH(Key!$C$9,Responses!G5)),1,0))</f>
        <v>1</v>
      </c>
      <c r="F5" s="24">
        <f>IF(Responses!$A5="","",IF(ISNUMBER(SEARCH(Key!$C$10,Responses!H5)),1,0))</f>
        <v>1</v>
      </c>
      <c r="G5" s="24">
        <f>IF(Responses!$A5="","",SUM(B5:F5))</f>
        <v>5</v>
      </c>
      <c r="H5" s="24">
        <f>IF(Responses!$A5="","",IF(G5&gt;=Key!$C$13,1,0))</f>
        <v>1</v>
      </c>
      <c r="I5" s="24">
        <f>IF(Responses!$A5="","",IF(IFERROR(OR(ABS(VALUE(SUBSTITUTE(SUBSTITUTE(Responses!I5,",",""),"%",""))-Key!$C$11)&lt;=Key!$D$11+0.000001,ABS(VALUE(SUBSTITUTE(SUBSTITUTE(Responses!I5,",",""),"%",""))*100-Key!$C$11)&lt;=Key!$D$11+0.000001),FALSE()),1,0))</f>
        <v>1</v>
      </c>
      <c r="J5" s="24">
        <f>IF(Responses!$A5="","",IF(ISNUMBER(SEARCH(Key!$C$5,Responses!C5)),1,0))</f>
        <v>0</v>
      </c>
    </row>
    <row r="6">
      <c r="A6" s="39" t="str">
        <f>Responses!$A6</f>
        <v>P2</v>
      </c>
      <c r="B6" s="24">
        <f>IF(Responses!$A6="","",IF(IFERROR(ABS(VALUE(SUBSTITUTE(SUBSTITUTE(Responses!D6,",",""),"%",""))-Key!$C$6)&lt;=Key!$D$6+0.000001,FALSE()),1,0))</f>
        <v>0</v>
      </c>
      <c r="C6" s="24">
        <f>IF(Responses!$A6="","",IF(IFERROR(ABS(VALUE(SUBSTITUTE(SUBSTITUTE(Responses!E6,",",""),"%",""))-Key!$C$7)&lt;=Key!$D$7+0.000001,FALSE()),1,0))</f>
        <v>0</v>
      </c>
      <c r="D6" s="24">
        <f>IF(Responses!$A6="","",IF(IFERROR(ABS(VALUE(SUBSTITUTE(SUBSTITUTE(Responses!F6,",",""),"%",""))-Key!$C$8)&lt;=Key!$D$8+0.000001,FALSE()),1,0))</f>
        <v>0</v>
      </c>
      <c r="E6" s="24">
        <f>IF(Responses!$A6="","",IF(ISNUMBER(SEARCH(Key!$C$9,Responses!G6)),1,0))</f>
        <v>1</v>
      </c>
      <c r="F6" s="24">
        <f>IF(Responses!$A6="","",IF(ISNUMBER(SEARCH(Key!$C$10,Responses!H6)),1,0))</f>
        <v>1</v>
      </c>
      <c r="G6" s="24">
        <f>IF(Responses!$A6="","",SUM(B6:F6))</f>
        <v>2</v>
      </c>
      <c r="H6" s="24">
        <f>IF(Responses!$A6="","",IF(G6&gt;=Key!$C$13,1,0))</f>
        <v>0</v>
      </c>
      <c r="I6" s="24">
        <f>IF(Responses!$A6="","",IF(IFERROR(OR(ABS(VALUE(SUBSTITUTE(SUBSTITUTE(Responses!I6,",",""),"%",""))-Key!$C$11)&lt;=Key!$D$11+0.000001,ABS(VALUE(SUBSTITUTE(SUBSTITUTE(Responses!I6,",",""),"%",""))*100-Key!$C$11)&lt;=Key!$D$11+0.000001),FALSE()),1,0))</f>
        <v>1</v>
      </c>
      <c r="J6" s="24">
        <f>IF(Responses!$A6="","",IF(ISNUMBER(SEARCH(Key!$C$5,Responses!C6)),1,0))</f>
        <v>0</v>
      </c>
    </row>
    <row r="7">
      <c r="A7" s="39" t="str">
        <f>Responses!$A7</f>
        <v>P3</v>
      </c>
      <c r="B7" s="24">
        <f>IF(Responses!$A7="","",IF(IFERROR(ABS(VALUE(SUBSTITUTE(SUBSTITUTE(Responses!D7,",",""),"%",""))-Key!$C$6)&lt;=Key!$D$6+0.000001,FALSE()),1,0))</f>
        <v>1</v>
      </c>
      <c r="C7" s="24">
        <f>IF(Responses!$A7="","",IF(IFERROR(ABS(VALUE(SUBSTITUTE(SUBSTITUTE(Responses!E7,",",""),"%",""))-Key!$C$7)&lt;=Key!$D$7+0.000001,FALSE()),1,0))</f>
        <v>1</v>
      </c>
      <c r="D7" s="24">
        <f>IF(Responses!$A7="","",IF(IFERROR(ABS(VALUE(SUBSTITUTE(SUBSTITUTE(Responses!F7,",",""),"%",""))-Key!$C$8)&lt;=Key!$D$8+0.000001,FALSE()),1,0))</f>
        <v>1</v>
      </c>
      <c r="E7" s="24">
        <f>IF(Responses!$A7="","",IF(ISNUMBER(SEARCH(Key!$C$9,Responses!G7)),1,0))</f>
        <v>1</v>
      </c>
      <c r="F7" s="24">
        <f>IF(Responses!$A7="","",IF(ISNUMBER(SEARCH(Key!$C$10,Responses!H7)),1,0))</f>
        <v>1</v>
      </c>
      <c r="G7" s="24">
        <f>IF(Responses!$A7="","",SUM(B7:F7))</f>
        <v>5</v>
      </c>
      <c r="H7" s="24">
        <f>IF(Responses!$A7="","",IF(G7&gt;=Key!$C$13,1,0))</f>
        <v>1</v>
      </c>
      <c r="I7" s="24">
        <f>IF(Responses!$A7="","",IF(IFERROR(OR(ABS(VALUE(SUBSTITUTE(SUBSTITUTE(Responses!I7,",",""),"%",""))-Key!$C$11)&lt;=Key!$D$11+0.000001,ABS(VALUE(SUBSTITUTE(SUBSTITUTE(Responses!I7,",",""),"%",""))*100-Key!$C$11)&lt;=Key!$D$11+0.000001),FALSE()),1,0))</f>
        <v>1</v>
      </c>
      <c r="J7" s="24">
        <f>IF(Responses!$A7="","",IF(ISNUMBER(SEARCH(Key!$C$5,Responses!C7)),1,0))</f>
        <v>1</v>
      </c>
    </row>
    <row r="8">
      <c r="A8" s="39" t="str">
        <f>Responses!$A8</f>
        <v>P4</v>
      </c>
      <c r="B8" s="24">
        <f>IF(Responses!$A8="","",IF(IFERROR(ABS(VALUE(SUBSTITUTE(SUBSTITUTE(Responses!D8,",",""),"%",""))-Key!$C$6)&lt;=Key!$D$6+0.000001,FALSE()),1,0))</f>
        <v>0</v>
      </c>
      <c r="C8" s="24">
        <f>IF(Responses!$A8="","",IF(IFERROR(ABS(VALUE(SUBSTITUTE(SUBSTITUTE(Responses!E8,",",""),"%",""))-Key!$C$7)&lt;=Key!$D$7+0.000001,FALSE()),1,0))</f>
        <v>0</v>
      </c>
      <c r="D8" s="24">
        <f>IF(Responses!$A8="","",IF(IFERROR(ABS(VALUE(SUBSTITUTE(SUBSTITUTE(Responses!F8,",",""),"%",""))-Key!$C$8)&lt;=Key!$D$8+0.000001,FALSE()),1,0))</f>
        <v>0</v>
      </c>
      <c r="E8" s="24">
        <f>IF(Responses!$A8="","",IF(ISNUMBER(SEARCH(Key!$C$9,Responses!G8)),1,0))</f>
        <v>1</v>
      </c>
      <c r="F8" s="24">
        <f>IF(Responses!$A8="","",IF(ISNUMBER(SEARCH(Key!$C$10,Responses!H8)),1,0))</f>
        <v>0</v>
      </c>
      <c r="G8" s="24">
        <f>IF(Responses!$A8="","",SUM(B8:F8))</f>
        <v>1</v>
      </c>
      <c r="H8" s="24">
        <f>IF(Responses!$A8="","",IF(G8&gt;=Key!$C$13,1,0))</f>
        <v>0</v>
      </c>
      <c r="I8" s="24">
        <f>IF(Responses!$A8="","",IF(IFERROR(OR(ABS(VALUE(SUBSTITUTE(SUBSTITUTE(Responses!I8,",",""),"%",""))-Key!$C$11)&lt;=Key!$D$11+0.000001,ABS(VALUE(SUBSTITUTE(SUBSTITUTE(Responses!I8,",",""),"%",""))*100-Key!$C$11)&lt;=Key!$D$11+0.000001),FALSE()),1,0))</f>
        <v>0</v>
      </c>
      <c r="J8" s="24">
        <f>IF(Responses!$A8="","",IF(ISNUMBER(SEARCH(Key!$C$5,Responses!C8)),1,0))</f>
        <v>0</v>
      </c>
    </row>
    <row r="9">
      <c r="A9" s="39" t="str">
        <f>Responses!$A9</f>
        <v>P5</v>
      </c>
      <c r="B9" s="24">
        <f>IF(Responses!$A9="","",IF(IFERROR(ABS(VALUE(SUBSTITUTE(SUBSTITUTE(Responses!D9,",",""),"%",""))-Key!$C$6)&lt;=Key!$D$6+0.000001,FALSE()),1,0))</f>
        <v>1</v>
      </c>
      <c r="C9" s="24">
        <f>IF(Responses!$A9="","",IF(IFERROR(ABS(VALUE(SUBSTITUTE(SUBSTITUTE(Responses!E9,",",""),"%",""))-Key!$C$7)&lt;=Key!$D$7+0.000001,FALSE()),1,0))</f>
        <v>1</v>
      </c>
      <c r="D9" s="24">
        <f>IF(Responses!$A9="","",IF(IFERROR(ABS(VALUE(SUBSTITUTE(SUBSTITUTE(Responses!F9,",",""),"%",""))-Key!$C$8)&lt;=Key!$D$8+0.000001,FALSE()),1,0))</f>
        <v>1</v>
      </c>
      <c r="E9" s="24">
        <f>IF(Responses!$A9="","",IF(ISNUMBER(SEARCH(Key!$C$9,Responses!G9)),1,0))</f>
        <v>1</v>
      </c>
      <c r="F9" s="24">
        <f>IF(Responses!$A9="","",IF(ISNUMBER(SEARCH(Key!$C$10,Responses!H9)),1,0))</f>
        <v>1</v>
      </c>
      <c r="G9" s="24">
        <f>IF(Responses!$A9="","",SUM(B9:F9))</f>
        <v>5</v>
      </c>
      <c r="H9" s="24">
        <f>IF(Responses!$A9="","",IF(G9&gt;=Key!$C$13,1,0))</f>
        <v>1</v>
      </c>
      <c r="I9" s="24">
        <f>IF(Responses!$A9="","",IF(IFERROR(OR(ABS(VALUE(SUBSTITUTE(SUBSTITUTE(Responses!I9,",",""),"%",""))-Key!$C$11)&lt;=Key!$D$11+0.000001,ABS(VALUE(SUBSTITUTE(SUBSTITUTE(Responses!I9,",",""),"%",""))*100-Key!$C$11)&lt;=Key!$D$11+0.000001),FALSE()),1,0))</f>
        <v>1</v>
      </c>
      <c r="J9" s="24">
        <f>IF(Responses!$A9="","",IF(ISNUMBER(SEARCH(Key!$C$5,Responses!C9)),1,0))</f>
        <v>1</v>
      </c>
    </row>
    <row r="10">
      <c r="A10" s="39" t="str">
        <f>Responses!$A10</f>
        <v>P6</v>
      </c>
      <c r="B10" s="24">
        <f>IF(Responses!$A10="","",IF(IFERROR(ABS(VALUE(SUBSTITUTE(SUBSTITUTE(Responses!D10,",",""),"%",""))-Key!$C$6)&lt;=Key!$D$6+0.000001,FALSE()),1,0))</f>
        <v>0</v>
      </c>
      <c r="C10" s="24">
        <f>IF(Responses!$A10="","",IF(IFERROR(ABS(VALUE(SUBSTITUTE(SUBSTITUTE(Responses!E10,",",""),"%",""))-Key!$C$7)&lt;=Key!$D$7+0.000001,FALSE()),1,0))</f>
        <v>0</v>
      </c>
      <c r="D10" s="24">
        <f>IF(Responses!$A10="","",IF(IFERROR(ABS(VALUE(SUBSTITUTE(SUBSTITUTE(Responses!F10,",",""),"%",""))-Key!$C$8)&lt;=Key!$D$8+0.000001,FALSE()),1,0))</f>
        <v>0</v>
      </c>
      <c r="E10" s="24">
        <f>IF(Responses!$A10="","",IF(ISNUMBER(SEARCH(Key!$C$9,Responses!G10)),1,0))</f>
        <v>1</v>
      </c>
      <c r="F10" s="24">
        <f>IF(Responses!$A10="","",IF(ISNUMBER(SEARCH(Key!$C$10,Responses!H10)),1,0))</f>
        <v>1</v>
      </c>
      <c r="G10" s="24">
        <f>IF(Responses!$A10="","",SUM(B10:F10))</f>
        <v>2</v>
      </c>
      <c r="H10" s="24">
        <f>IF(Responses!$A10="","",IF(G10&gt;=Key!$C$13,1,0))</f>
        <v>0</v>
      </c>
      <c r="I10" s="24">
        <f>IF(Responses!$A10="","",IF(IFERROR(OR(ABS(VALUE(SUBSTITUTE(SUBSTITUTE(Responses!I10,",",""),"%",""))-Key!$C$11)&lt;=Key!$D$11+0.000001,ABS(VALUE(SUBSTITUTE(SUBSTITUTE(Responses!I10,",",""),"%",""))*100-Key!$C$11)&lt;=Key!$D$11+0.000001),FALSE()),1,0))</f>
        <v>0</v>
      </c>
      <c r="J10" s="24">
        <f>IF(Responses!$A10="","",IF(ISNUMBER(SEARCH(Key!$C$5,Responses!C10)),1,0))</f>
        <v>0</v>
      </c>
    </row>
    <row r="11">
      <c r="A11" s="39" t="str">
        <f>Responses!$A11</f>
        <v>P7</v>
      </c>
      <c r="B11" s="24">
        <f>IF(Responses!$A11="","",IF(IFERROR(ABS(VALUE(SUBSTITUTE(SUBSTITUTE(Responses!D11,",",""),"%",""))-Key!$C$6)&lt;=Key!$D$6+0.000001,FALSE()),1,0))</f>
        <v>0</v>
      </c>
      <c r="C11" s="24">
        <f>IF(Responses!$A11="","",IF(IFERROR(ABS(VALUE(SUBSTITUTE(SUBSTITUTE(Responses!E11,",",""),"%",""))-Key!$C$7)&lt;=Key!$D$7+0.000001,FALSE()),1,0))</f>
        <v>0</v>
      </c>
      <c r="D11" s="24">
        <f>IF(Responses!$A11="","",IF(IFERROR(ABS(VALUE(SUBSTITUTE(SUBSTITUTE(Responses!F11,",",""),"%",""))-Key!$C$8)&lt;=Key!$D$8+0.000001,FALSE()),1,0))</f>
        <v>0</v>
      </c>
      <c r="E11" s="24">
        <f>IF(Responses!$A11="","",IF(ISNUMBER(SEARCH(Key!$C$9,Responses!G11)),1,0))</f>
        <v>1</v>
      </c>
      <c r="F11" s="24">
        <f>IF(Responses!$A11="","",IF(ISNUMBER(SEARCH(Key!$C$10,Responses!H11)),1,0))</f>
        <v>0</v>
      </c>
      <c r="G11" s="24">
        <f>IF(Responses!$A11="","",SUM(B11:F11))</f>
        <v>1</v>
      </c>
      <c r="H11" s="24">
        <f>IF(Responses!$A11="","",IF(G11&gt;=Key!$C$13,1,0))</f>
        <v>0</v>
      </c>
      <c r="I11" s="24">
        <f>IF(Responses!$A11="","",IF(IFERROR(OR(ABS(VALUE(SUBSTITUTE(SUBSTITUTE(Responses!I11,",",""),"%",""))-Key!$C$11)&lt;=Key!$D$11+0.000001,ABS(VALUE(SUBSTITUTE(SUBSTITUTE(Responses!I11,",",""),"%",""))*100-Key!$C$11)&lt;=Key!$D$11+0.000001),FALSE()),1,0))</f>
        <v>0</v>
      </c>
      <c r="J11" s="24">
        <f>IF(Responses!$A11="","",IF(ISNUMBER(SEARCH(Key!$C$5,Responses!C11)),1,0))</f>
        <v>0</v>
      </c>
    </row>
    <row r="12">
      <c r="A12" s="39" t="str">
        <f>Responses!$A12</f>
        <v>P8</v>
      </c>
      <c r="B12" s="24">
        <f>IF(Responses!$A12="","",IF(IFERROR(ABS(VALUE(SUBSTITUTE(SUBSTITUTE(Responses!D12,",",""),"%",""))-Key!$C$6)&lt;=Key!$D$6+0.000001,FALSE()),1,0))</f>
        <v>1</v>
      </c>
      <c r="C12" s="24">
        <f>IF(Responses!$A12="","",IF(IFERROR(ABS(VALUE(SUBSTITUTE(SUBSTITUTE(Responses!E12,",",""),"%",""))-Key!$C$7)&lt;=Key!$D$7+0.000001,FALSE()),1,0))</f>
        <v>1</v>
      </c>
      <c r="D12" s="24">
        <f>IF(Responses!$A12="","",IF(IFERROR(ABS(VALUE(SUBSTITUTE(SUBSTITUTE(Responses!F12,",",""),"%",""))-Key!$C$8)&lt;=Key!$D$8+0.000001,FALSE()),1,0))</f>
        <v>0</v>
      </c>
      <c r="E12" s="24">
        <f>IF(Responses!$A12="","",IF(ISNUMBER(SEARCH(Key!$C$9,Responses!G12)),1,0))</f>
        <v>1</v>
      </c>
      <c r="F12" s="24">
        <f>IF(Responses!$A12="","",IF(ISNUMBER(SEARCH(Key!$C$10,Responses!H12)),1,0))</f>
        <v>1</v>
      </c>
      <c r="G12" s="24">
        <f>IF(Responses!$A12="","",SUM(B12:F12))</f>
        <v>4</v>
      </c>
      <c r="H12" s="24">
        <f>IF(Responses!$A12="","",IF(G12&gt;=Key!$C$13,1,0))</f>
        <v>1</v>
      </c>
      <c r="I12" s="24">
        <f>IF(Responses!$A12="","",IF(IFERROR(OR(ABS(VALUE(SUBSTITUTE(SUBSTITUTE(Responses!I12,",",""),"%",""))-Key!$C$11)&lt;=Key!$D$11+0.000001,ABS(VALUE(SUBSTITUTE(SUBSTITUTE(Responses!I12,",",""),"%",""))*100-Key!$C$11)&lt;=Key!$D$11+0.000001),FALSE()),1,0))</f>
        <v>0</v>
      </c>
      <c r="J12" s="24">
        <f>IF(Responses!$A12="","",IF(ISNUMBER(SEARCH(Key!$C$5,Responses!C12)),1,0))</f>
        <v>0</v>
      </c>
    </row>
    <row r="13">
      <c r="A13" s="39" t="str">
        <f>Responses!$A13</f>
        <v/>
      </c>
      <c r="B13" s="24" t="str">
        <f>IF(Responses!$A13="","",IF(IFERROR(ABS(VALUE(SUBSTITUTE(SUBSTITUTE(Responses!D13,",",""),"%",""))-Key!$C$6)&lt;=Key!$D$6+0.000001,FALSE()),1,0))</f>
        <v/>
      </c>
      <c r="C13" s="24" t="str">
        <f>IF(Responses!$A13="","",IF(IFERROR(ABS(VALUE(SUBSTITUTE(SUBSTITUTE(Responses!E13,",",""),"%",""))-Key!$C$7)&lt;=Key!$D$7+0.000001,FALSE()),1,0))</f>
        <v/>
      </c>
      <c r="D13" s="24" t="str">
        <f>IF(Responses!$A13="","",IF(IFERROR(ABS(VALUE(SUBSTITUTE(SUBSTITUTE(Responses!F13,",",""),"%",""))-Key!$C$8)&lt;=Key!$D$8+0.000001,FALSE()),1,0))</f>
        <v/>
      </c>
      <c r="E13" s="24" t="str">
        <f>IF(Responses!$A13="","",IF(ISNUMBER(SEARCH(Key!$C$9,Responses!G13)),1,0))</f>
        <v/>
      </c>
      <c r="F13" s="24" t="str">
        <f>IF(Responses!$A13="","",IF(ISNUMBER(SEARCH(Key!$C$10,Responses!H13)),1,0))</f>
        <v/>
      </c>
      <c r="G13" s="24" t="str">
        <f>IF(Responses!$A13="","",SUM(B13:F13))</f>
        <v/>
      </c>
      <c r="H13" s="24" t="str">
        <f>IF(Responses!$A13="","",IF(G13&gt;=Key!$C$13,1,0))</f>
        <v/>
      </c>
      <c r="I13" s="24" t="str">
        <f>IF(Responses!$A13="","",IF(IFERROR(OR(ABS(VALUE(SUBSTITUTE(SUBSTITUTE(Responses!I13,",",""),"%",""))-Key!$C$11)&lt;=Key!$D$11+0.000001,ABS(VALUE(SUBSTITUTE(SUBSTITUTE(Responses!I13,",",""),"%",""))*100-Key!$C$11)&lt;=Key!$D$11+0.000001),FALSE()),1,0))</f>
        <v/>
      </c>
      <c r="J13" s="24" t="str">
        <f>IF(Responses!$A13="","",IF(ISNUMBER(SEARCH(Key!$C$5,Responses!C13)),1,0))</f>
        <v/>
      </c>
    </row>
    <row r="14">
      <c r="A14" s="39" t="str">
        <f>Responses!$A14</f>
        <v/>
      </c>
      <c r="B14" s="24" t="str">
        <f>IF(Responses!$A14="","",IF(IFERROR(ABS(VALUE(SUBSTITUTE(SUBSTITUTE(Responses!D14,",",""),"%",""))-Key!$C$6)&lt;=Key!$D$6+0.000001,FALSE()),1,0))</f>
        <v/>
      </c>
      <c r="C14" s="24" t="str">
        <f>IF(Responses!$A14="","",IF(IFERROR(ABS(VALUE(SUBSTITUTE(SUBSTITUTE(Responses!E14,",",""),"%",""))-Key!$C$7)&lt;=Key!$D$7+0.000001,FALSE()),1,0))</f>
        <v/>
      </c>
      <c r="D14" s="24" t="str">
        <f>IF(Responses!$A14="","",IF(IFERROR(ABS(VALUE(SUBSTITUTE(SUBSTITUTE(Responses!F14,",",""),"%",""))-Key!$C$8)&lt;=Key!$D$8+0.000001,FALSE()),1,0))</f>
        <v/>
      </c>
      <c r="E14" s="24" t="str">
        <f>IF(Responses!$A14="","",IF(ISNUMBER(SEARCH(Key!$C$9,Responses!G14)),1,0))</f>
        <v/>
      </c>
      <c r="F14" s="24" t="str">
        <f>IF(Responses!$A14="","",IF(ISNUMBER(SEARCH(Key!$C$10,Responses!H14)),1,0))</f>
        <v/>
      </c>
      <c r="G14" s="24" t="str">
        <f>IF(Responses!$A14="","",SUM(B14:F14))</f>
        <v/>
      </c>
      <c r="H14" s="24" t="str">
        <f>IF(Responses!$A14="","",IF(G14&gt;=Key!$C$13,1,0))</f>
        <v/>
      </c>
      <c r="I14" s="24" t="str">
        <f>IF(Responses!$A14="","",IF(IFERROR(OR(ABS(VALUE(SUBSTITUTE(SUBSTITUTE(Responses!I14,",",""),"%",""))-Key!$C$11)&lt;=Key!$D$11+0.000001,ABS(VALUE(SUBSTITUTE(SUBSTITUTE(Responses!I14,",",""),"%",""))*100-Key!$C$11)&lt;=Key!$D$11+0.000001),FALSE()),1,0))</f>
        <v/>
      </c>
      <c r="J14" s="24" t="str">
        <f>IF(Responses!$A14="","",IF(ISNUMBER(SEARCH(Key!$C$5,Responses!C14)),1,0))</f>
        <v/>
      </c>
    </row>
    <row r="15">
      <c r="A15" s="39" t="str">
        <f>Responses!$A15</f>
        <v/>
      </c>
      <c r="B15" s="24" t="str">
        <f>IF(Responses!$A15="","",IF(IFERROR(ABS(VALUE(SUBSTITUTE(SUBSTITUTE(Responses!D15,",",""),"%",""))-Key!$C$6)&lt;=Key!$D$6+0.000001,FALSE()),1,0))</f>
        <v/>
      </c>
      <c r="C15" s="24" t="str">
        <f>IF(Responses!$A15="","",IF(IFERROR(ABS(VALUE(SUBSTITUTE(SUBSTITUTE(Responses!E15,",",""),"%",""))-Key!$C$7)&lt;=Key!$D$7+0.000001,FALSE()),1,0))</f>
        <v/>
      </c>
      <c r="D15" s="24" t="str">
        <f>IF(Responses!$A15="","",IF(IFERROR(ABS(VALUE(SUBSTITUTE(SUBSTITUTE(Responses!F15,",",""),"%",""))-Key!$C$8)&lt;=Key!$D$8+0.000001,FALSE()),1,0))</f>
        <v/>
      </c>
      <c r="E15" s="24" t="str">
        <f>IF(Responses!$A15="","",IF(ISNUMBER(SEARCH(Key!$C$9,Responses!G15)),1,0))</f>
        <v/>
      </c>
      <c r="F15" s="24" t="str">
        <f>IF(Responses!$A15="","",IF(ISNUMBER(SEARCH(Key!$C$10,Responses!H15)),1,0))</f>
        <v/>
      </c>
      <c r="G15" s="24" t="str">
        <f>IF(Responses!$A15="","",SUM(B15:F15))</f>
        <v/>
      </c>
      <c r="H15" s="24" t="str">
        <f>IF(Responses!$A15="","",IF(G15&gt;=Key!$C$13,1,0))</f>
        <v/>
      </c>
      <c r="I15" s="24" t="str">
        <f>IF(Responses!$A15="","",IF(IFERROR(OR(ABS(VALUE(SUBSTITUTE(SUBSTITUTE(Responses!I15,",",""),"%",""))-Key!$C$11)&lt;=Key!$D$11+0.000001,ABS(VALUE(SUBSTITUTE(SUBSTITUTE(Responses!I15,",",""),"%",""))*100-Key!$C$11)&lt;=Key!$D$11+0.000001),FALSE()),1,0))</f>
        <v/>
      </c>
      <c r="J15" s="24" t="str">
        <f>IF(Responses!$A15="","",IF(ISNUMBER(SEARCH(Key!$C$5,Responses!C15)),1,0))</f>
        <v/>
      </c>
    </row>
    <row r="16">
      <c r="A16" s="39" t="str">
        <f>Responses!$A16</f>
        <v/>
      </c>
      <c r="B16" s="24" t="str">
        <f>IF(Responses!$A16="","",IF(IFERROR(ABS(VALUE(SUBSTITUTE(SUBSTITUTE(Responses!D16,",",""),"%",""))-Key!$C$6)&lt;=Key!$D$6+0.000001,FALSE()),1,0))</f>
        <v/>
      </c>
      <c r="C16" s="24" t="str">
        <f>IF(Responses!$A16="","",IF(IFERROR(ABS(VALUE(SUBSTITUTE(SUBSTITUTE(Responses!E16,",",""),"%",""))-Key!$C$7)&lt;=Key!$D$7+0.000001,FALSE()),1,0))</f>
        <v/>
      </c>
      <c r="D16" s="24" t="str">
        <f>IF(Responses!$A16="","",IF(IFERROR(ABS(VALUE(SUBSTITUTE(SUBSTITUTE(Responses!F16,",",""),"%",""))-Key!$C$8)&lt;=Key!$D$8+0.000001,FALSE()),1,0))</f>
        <v/>
      </c>
      <c r="E16" s="24" t="str">
        <f>IF(Responses!$A16="","",IF(ISNUMBER(SEARCH(Key!$C$9,Responses!G16)),1,0))</f>
        <v/>
      </c>
      <c r="F16" s="24" t="str">
        <f>IF(Responses!$A16="","",IF(ISNUMBER(SEARCH(Key!$C$10,Responses!H16)),1,0))</f>
        <v/>
      </c>
      <c r="G16" s="24" t="str">
        <f>IF(Responses!$A16="","",SUM(B16:F16))</f>
        <v/>
      </c>
      <c r="H16" s="24" t="str">
        <f>IF(Responses!$A16="","",IF(G16&gt;=Key!$C$13,1,0))</f>
        <v/>
      </c>
      <c r="I16" s="24" t="str">
        <f>IF(Responses!$A16="","",IF(IFERROR(OR(ABS(VALUE(SUBSTITUTE(SUBSTITUTE(Responses!I16,",",""),"%",""))-Key!$C$11)&lt;=Key!$D$11+0.000001,ABS(VALUE(SUBSTITUTE(SUBSTITUTE(Responses!I16,",",""),"%",""))*100-Key!$C$11)&lt;=Key!$D$11+0.000001),FALSE()),1,0))</f>
        <v/>
      </c>
      <c r="J16" s="24" t="str">
        <f>IF(Responses!$A16="","",IF(ISNUMBER(SEARCH(Key!$C$5,Responses!C16)),1,0))</f>
        <v/>
      </c>
    </row>
    <row r="17">
      <c r="A17" s="39" t="str">
        <f>Responses!$A17</f>
        <v/>
      </c>
      <c r="B17" s="24" t="str">
        <f>IF(Responses!$A17="","",IF(IFERROR(ABS(VALUE(SUBSTITUTE(SUBSTITUTE(Responses!D17,",",""),"%",""))-Key!$C$6)&lt;=Key!$D$6+0.000001,FALSE()),1,0))</f>
        <v/>
      </c>
      <c r="C17" s="24" t="str">
        <f>IF(Responses!$A17="","",IF(IFERROR(ABS(VALUE(SUBSTITUTE(SUBSTITUTE(Responses!E17,",",""),"%",""))-Key!$C$7)&lt;=Key!$D$7+0.000001,FALSE()),1,0))</f>
        <v/>
      </c>
      <c r="D17" s="24" t="str">
        <f>IF(Responses!$A17="","",IF(IFERROR(ABS(VALUE(SUBSTITUTE(SUBSTITUTE(Responses!F17,",",""),"%",""))-Key!$C$8)&lt;=Key!$D$8+0.000001,FALSE()),1,0))</f>
        <v/>
      </c>
      <c r="E17" s="24" t="str">
        <f>IF(Responses!$A17="","",IF(ISNUMBER(SEARCH(Key!$C$9,Responses!G17)),1,0))</f>
        <v/>
      </c>
      <c r="F17" s="24" t="str">
        <f>IF(Responses!$A17="","",IF(ISNUMBER(SEARCH(Key!$C$10,Responses!H17)),1,0))</f>
        <v/>
      </c>
      <c r="G17" s="24" t="str">
        <f>IF(Responses!$A17="","",SUM(B17:F17))</f>
        <v/>
      </c>
      <c r="H17" s="24" t="str">
        <f>IF(Responses!$A17="","",IF(G17&gt;=Key!$C$13,1,0))</f>
        <v/>
      </c>
      <c r="I17" s="24" t="str">
        <f>IF(Responses!$A17="","",IF(IFERROR(OR(ABS(VALUE(SUBSTITUTE(SUBSTITUTE(Responses!I17,",",""),"%",""))-Key!$C$11)&lt;=Key!$D$11+0.000001,ABS(VALUE(SUBSTITUTE(SUBSTITUTE(Responses!I17,",",""),"%",""))*100-Key!$C$11)&lt;=Key!$D$11+0.000001),FALSE()),1,0))</f>
        <v/>
      </c>
      <c r="J17" s="24" t="str">
        <f>IF(Responses!$A17="","",IF(ISNUMBER(SEARCH(Key!$C$5,Responses!C17)),1,0))</f>
        <v/>
      </c>
    </row>
    <row r="18">
      <c r="A18" s="39" t="str">
        <f>Responses!$A18</f>
        <v/>
      </c>
      <c r="B18" s="24" t="str">
        <f>IF(Responses!$A18="","",IF(IFERROR(ABS(VALUE(SUBSTITUTE(SUBSTITUTE(Responses!D18,",",""),"%",""))-Key!$C$6)&lt;=Key!$D$6+0.000001,FALSE()),1,0))</f>
        <v/>
      </c>
      <c r="C18" s="24" t="str">
        <f>IF(Responses!$A18="","",IF(IFERROR(ABS(VALUE(SUBSTITUTE(SUBSTITUTE(Responses!E18,",",""),"%",""))-Key!$C$7)&lt;=Key!$D$7+0.000001,FALSE()),1,0))</f>
        <v/>
      </c>
      <c r="D18" s="24" t="str">
        <f>IF(Responses!$A18="","",IF(IFERROR(ABS(VALUE(SUBSTITUTE(SUBSTITUTE(Responses!F18,",",""),"%",""))-Key!$C$8)&lt;=Key!$D$8+0.000001,FALSE()),1,0))</f>
        <v/>
      </c>
      <c r="E18" s="24" t="str">
        <f>IF(Responses!$A18="","",IF(ISNUMBER(SEARCH(Key!$C$9,Responses!G18)),1,0))</f>
        <v/>
      </c>
      <c r="F18" s="24" t="str">
        <f>IF(Responses!$A18="","",IF(ISNUMBER(SEARCH(Key!$C$10,Responses!H18)),1,0))</f>
        <v/>
      </c>
      <c r="G18" s="24" t="str">
        <f>IF(Responses!$A18="","",SUM(B18:F18))</f>
        <v/>
      </c>
      <c r="H18" s="24" t="str">
        <f>IF(Responses!$A18="","",IF(G18&gt;=Key!$C$13,1,0))</f>
        <v/>
      </c>
      <c r="I18" s="24" t="str">
        <f>IF(Responses!$A18="","",IF(IFERROR(OR(ABS(VALUE(SUBSTITUTE(SUBSTITUTE(Responses!I18,",",""),"%",""))-Key!$C$11)&lt;=Key!$D$11+0.000001,ABS(VALUE(SUBSTITUTE(SUBSTITUTE(Responses!I18,",",""),"%",""))*100-Key!$C$11)&lt;=Key!$D$11+0.000001),FALSE()),1,0))</f>
        <v/>
      </c>
      <c r="J18" s="24" t="str">
        <f>IF(Responses!$A18="","",IF(ISNUMBER(SEARCH(Key!$C$5,Responses!C18)),1,0))</f>
        <v/>
      </c>
    </row>
    <row r="19">
      <c r="A19" s="39" t="str">
        <f>Responses!$A19</f>
        <v/>
      </c>
      <c r="B19" s="24" t="str">
        <f>IF(Responses!$A19="","",IF(IFERROR(ABS(VALUE(SUBSTITUTE(SUBSTITUTE(Responses!D19,",",""),"%",""))-Key!$C$6)&lt;=Key!$D$6+0.000001,FALSE()),1,0))</f>
        <v/>
      </c>
      <c r="C19" s="24" t="str">
        <f>IF(Responses!$A19="","",IF(IFERROR(ABS(VALUE(SUBSTITUTE(SUBSTITUTE(Responses!E19,",",""),"%",""))-Key!$C$7)&lt;=Key!$D$7+0.000001,FALSE()),1,0))</f>
        <v/>
      </c>
      <c r="D19" s="24" t="str">
        <f>IF(Responses!$A19="","",IF(IFERROR(ABS(VALUE(SUBSTITUTE(SUBSTITUTE(Responses!F19,",",""),"%",""))-Key!$C$8)&lt;=Key!$D$8+0.000001,FALSE()),1,0))</f>
        <v/>
      </c>
      <c r="E19" s="24" t="str">
        <f>IF(Responses!$A19="","",IF(ISNUMBER(SEARCH(Key!$C$9,Responses!G19)),1,0))</f>
        <v/>
      </c>
      <c r="F19" s="24" t="str">
        <f>IF(Responses!$A19="","",IF(ISNUMBER(SEARCH(Key!$C$10,Responses!H19)),1,0))</f>
        <v/>
      </c>
      <c r="G19" s="24" t="str">
        <f>IF(Responses!$A19="","",SUM(B19:F19))</f>
        <v/>
      </c>
      <c r="H19" s="24" t="str">
        <f>IF(Responses!$A19="","",IF(G19&gt;=Key!$C$13,1,0))</f>
        <v/>
      </c>
      <c r="I19" s="24" t="str">
        <f>IF(Responses!$A19="","",IF(IFERROR(OR(ABS(VALUE(SUBSTITUTE(SUBSTITUTE(Responses!I19,",",""),"%",""))-Key!$C$11)&lt;=Key!$D$11+0.000001,ABS(VALUE(SUBSTITUTE(SUBSTITUTE(Responses!I19,",",""),"%",""))*100-Key!$C$11)&lt;=Key!$D$11+0.000001),FALSE()),1,0))</f>
        <v/>
      </c>
      <c r="J19" s="24" t="str">
        <f>IF(Responses!$A19="","",IF(ISNUMBER(SEARCH(Key!$C$5,Responses!C19)),1,0))</f>
        <v/>
      </c>
    </row>
    <row r="20">
      <c r="A20" s="39" t="str">
        <f>Responses!$A20</f>
        <v/>
      </c>
      <c r="B20" s="24" t="str">
        <f>IF(Responses!$A20="","",IF(IFERROR(ABS(VALUE(SUBSTITUTE(SUBSTITUTE(Responses!D20,",",""),"%",""))-Key!$C$6)&lt;=Key!$D$6+0.000001,FALSE()),1,0))</f>
        <v/>
      </c>
      <c r="C20" s="24" t="str">
        <f>IF(Responses!$A20="","",IF(IFERROR(ABS(VALUE(SUBSTITUTE(SUBSTITUTE(Responses!E20,",",""),"%",""))-Key!$C$7)&lt;=Key!$D$7+0.000001,FALSE()),1,0))</f>
        <v/>
      </c>
      <c r="D20" s="24" t="str">
        <f>IF(Responses!$A20="","",IF(IFERROR(ABS(VALUE(SUBSTITUTE(SUBSTITUTE(Responses!F20,",",""),"%",""))-Key!$C$8)&lt;=Key!$D$8+0.000001,FALSE()),1,0))</f>
        <v/>
      </c>
      <c r="E20" s="24" t="str">
        <f>IF(Responses!$A20="","",IF(ISNUMBER(SEARCH(Key!$C$9,Responses!G20)),1,0))</f>
        <v/>
      </c>
      <c r="F20" s="24" t="str">
        <f>IF(Responses!$A20="","",IF(ISNUMBER(SEARCH(Key!$C$10,Responses!H20)),1,0))</f>
        <v/>
      </c>
      <c r="G20" s="24" t="str">
        <f>IF(Responses!$A20="","",SUM(B20:F20))</f>
        <v/>
      </c>
      <c r="H20" s="24" t="str">
        <f>IF(Responses!$A20="","",IF(G20&gt;=Key!$C$13,1,0))</f>
        <v/>
      </c>
      <c r="I20" s="24" t="str">
        <f>IF(Responses!$A20="","",IF(IFERROR(OR(ABS(VALUE(SUBSTITUTE(SUBSTITUTE(Responses!I20,",",""),"%",""))-Key!$C$11)&lt;=Key!$D$11+0.000001,ABS(VALUE(SUBSTITUTE(SUBSTITUTE(Responses!I20,",",""),"%",""))*100-Key!$C$11)&lt;=Key!$D$11+0.000001),FALSE()),1,0))</f>
        <v/>
      </c>
      <c r="J20" s="24" t="str">
        <f>IF(Responses!$A20="","",IF(ISNUMBER(SEARCH(Key!$C$5,Responses!C20)),1,0))</f>
        <v/>
      </c>
    </row>
    <row r="21" ht="15.75" customHeight="1">
      <c r="A21" s="39" t="str">
        <f>Responses!$A21</f>
        <v/>
      </c>
      <c r="B21" s="24" t="str">
        <f>IF(Responses!$A21="","",IF(IFERROR(ABS(VALUE(SUBSTITUTE(SUBSTITUTE(Responses!D21,",",""),"%",""))-Key!$C$6)&lt;=Key!$D$6+0.000001,FALSE()),1,0))</f>
        <v/>
      </c>
      <c r="C21" s="24" t="str">
        <f>IF(Responses!$A21="","",IF(IFERROR(ABS(VALUE(SUBSTITUTE(SUBSTITUTE(Responses!E21,",",""),"%",""))-Key!$C$7)&lt;=Key!$D$7+0.000001,FALSE()),1,0))</f>
        <v/>
      </c>
      <c r="D21" s="24" t="str">
        <f>IF(Responses!$A21="","",IF(IFERROR(ABS(VALUE(SUBSTITUTE(SUBSTITUTE(Responses!F21,",",""),"%",""))-Key!$C$8)&lt;=Key!$D$8+0.000001,FALSE()),1,0))</f>
        <v/>
      </c>
      <c r="E21" s="24" t="str">
        <f>IF(Responses!$A21="","",IF(ISNUMBER(SEARCH(Key!$C$9,Responses!G21)),1,0))</f>
        <v/>
      </c>
      <c r="F21" s="24" t="str">
        <f>IF(Responses!$A21="","",IF(ISNUMBER(SEARCH(Key!$C$10,Responses!H21)),1,0))</f>
        <v/>
      </c>
      <c r="G21" s="24" t="str">
        <f>IF(Responses!$A21="","",SUM(B21:F21))</f>
        <v/>
      </c>
      <c r="H21" s="24" t="str">
        <f>IF(Responses!$A21="","",IF(G21&gt;=Key!$C$13,1,0))</f>
        <v/>
      </c>
      <c r="I21" s="24" t="str">
        <f>IF(Responses!$A21="","",IF(IFERROR(OR(ABS(VALUE(SUBSTITUTE(SUBSTITUTE(Responses!I21,",",""),"%",""))-Key!$C$11)&lt;=Key!$D$11+0.000001,ABS(VALUE(SUBSTITUTE(SUBSTITUTE(Responses!I21,",",""),"%",""))*100-Key!$C$11)&lt;=Key!$D$11+0.000001),FALSE()),1,0))</f>
        <v/>
      </c>
      <c r="J21" s="24" t="str">
        <f>IF(Responses!$A21="","",IF(ISNUMBER(SEARCH(Key!$C$5,Responses!C21)),1,0))</f>
        <v/>
      </c>
    </row>
    <row r="22" ht="15.75" customHeight="1">
      <c r="A22" s="39" t="str">
        <f>Responses!$A22</f>
        <v/>
      </c>
      <c r="B22" s="24" t="str">
        <f>IF(Responses!$A22="","",IF(IFERROR(ABS(VALUE(SUBSTITUTE(SUBSTITUTE(Responses!D22,",",""),"%",""))-Key!$C$6)&lt;=Key!$D$6+0.000001,FALSE()),1,0))</f>
        <v/>
      </c>
      <c r="C22" s="24" t="str">
        <f>IF(Responses!$A22="","",IF(IFERROR(ABS(VALUE(SUBSTITUTE(SUBSTITUTE(Responses!E22,",",""),"%",""))-Key!$C$7)&lt;=Key!$D$7+0.000001,FALSE()),1,0))</f>
        <v/>
      </c>
      <c r="D22" s="24" t="str">
        <f>IF(Responses!$A22="","",IF(IFERROR(ABS(VALUE(SUBSTITUTE(SUBSTITUTE(Responses!F22,",",""),"%",""))-Key!$C$8)&lt;=Key!$D$8+0.000001,FALSE()),1,0))</f>
        <v/>
      </c>
      <c r="E22" s="24" t="str">
        <f>IF(Responses!$A22="","",IF(ISNUMBER(SEARCH(Key!$C$9,Responses!G22)),1,0))</f>
        <v/>
      </c>
      <c r="F22" s="24" t="str">
        <f>IF(Responses!$A22="","",IF(ISNUMBER(SEARCH(Key!$C$10,Responses!H22)),1,0))</f>
        <v/>
      </c>
      <c r="G22" s="24" t="str">
        <f>IF(Responses!$A22="","",SUM(B22:F22))</f>
        <v/>
      </c>
      <c r="H22" s="24" t="str">
        <f>IF(Responses!$A22="","",IF(G22&gt;=Key!$C$13,1,0))</f>
        <v/>
      </c>
      <c r="I22" s="24" t="str">
        <f>IF(Responses!$A22="","",IF(IFERROR(OR(ABS(VALUE(SUBSTITUTE(SUBSTITUTE(Responses!I22,",",""),"%",""))-Key!$C$11)&lt;=Key!$D$11+0.000001,ABS(VALUE(SUBSTITUTE(SUBSTITUTE(Responses!I22,",",""),"%",""))*100-Key!$C$11)&lt;=Key!$D$11+0.000001),FALSE()),1,0))</f>
        <v/>
      </c>
      <c r="J22" s="24" t="str">
        <f>IF(Responses!$A22="","",IF(ISNUMBER(SEARCH(Key!$C$5,Responses!C22)),1,0))</f>
        <v/>
      </c>
    </row>
    <row r="23" ht="15.75" customHeight="1">
      <c r="A23" s="39" t="str">
        <f>Responses!$A23</f>
        <v/>
      </c>
      <c r="B23" s="24" t="str">
        <f>IF(Responses!$A23="","",IF(IFERROR(ABS(VALUE(SUBSTITUTE(SUBSTITUTE(Responses!D23,",",""),"%",""))-Key!$C$6)&lt;=Key!$D$6+0.000001,FALSE()),1,0))</f>
        <v/>
      </c>
      <c r="C23" s="24" t="str">
        <f>IF(Responses!$A23="","",IF(IFERROR(ABS(VALUE(SUBSTITUTE(SUBSTITUTE(Responses!E23,",",""),"%",""))-Key!$C$7)&lt;=Key!$D$7+0.000001,FALSE()),1,0))</f>
        <v/>
      </c>
      <c r="D23" s="24" t="str">
        <f>IF(Responses!$A23="","",IF(IFERROR(ABS(VALUE(SUBSTITUTE(SUBSTITUTE(Responses!F23,",",""),"%",""))-Key!$C$8)&lt;=Key!$D$8+0.000001,FALSE()),1,0))</f>
        <v/>
      </c>
      <c r="E23" s="24" t="str">
        <f>IF(Responses!$A23="","",IF(ISNUMBER(SEARCH(Key!$C$9,Responses!G23)),1,0))</f>
        <v/>
      </c>
      <c r="F23" s="24" t="str">
        <f>IF(Responses!$A23="","",IF(ISNUMBER(SEARCH(Key!$C$10,Responses!H23)),1,0))</f>
        <v/>
      </c>
      <c r="G23" s="24" t="str">
        <f>IF(Responses!$A23="","",SUM(B23:F23))</f>
        <v/>
      </c>
      <c r="H23" s="24" t="str">
        <f>IF(Responses!$A23="","",IF(G23&gt;=Key!$C$13,1,0))</f>
        <v/>
      </c>
      <c r="I23" s="24" t="str">
        <f>IF(Responses!$A23="","",IF(IFERROR(OR(ABS(VALUE(SUBSTITUTE(SUBSTITUTE(Responses!I23,",",""),"%",""))-Key!$C$11)&lt;=Key!$D$11+0.000001,ABS(VALUE(SUBSTITUTE(SUBSTITUTE(Responses!I23,",",""),"%",""))*100-Key!$C$11)&lt;=Key!$D$11+0.000001),FALSE()),1,0))</f>
        <v/>
      </c>
      <c r="J23" s="24" t="str">
        <f>IF(Responses!$A23="","",IF(ISNUMBER(SEARCH(Key!$C$5,Responses!C23)),1,0))</f>
        <v/>
      </c>
    </row>
    <row r="24" ht="15.75" customHeight="1">
      <c r="A24" s="39" t="str">
        <f>Responses!$A24</f>
        <v/>
      </c>
      <c r="B24" s="24" t="str">
        <f>IF(Responses!$A24="","",IF(IFERROR(ABS(VALUE(SUBSTITUTE(SUBSTITUTE(Responses!D24,",",""),"%",""))-Key!$C$6)&lt;=Key!$D$6+0.000001,FALSE()),1,0))</f>
        <v/>
      </c>
      <c r="C24" s="24" t="str">
        <f>IF(Responses!$A24="","",IF(IFERROR(ABS(VALUE(SUBSTITUTE(SUBSTITUTE(Responses!E24,",",""),"%",""))-Key!$C$7)&lt;=Key!$D$7+0.000001,FALSE()),1,0))</f>
        <v/>
      </c>
      <c r="D24" s="24" t="str">
        <f>IF(Responses!$A24="","",IF(IFERROR(ABS(VALUE(SUBSTITUTE(SUBSTITUTE(Responses!F24,",",""),"%",""))-Key!$C$8)&lt;=Key!$D$8+0.000001,FALSE()),1,0))</f>
        <v/>
      </c>
      <c r="E24" s="24" t="str">
        <f>IF(Responses!$A24="","",IF(ISNUMBER(SEARCH(Key!$C$9,Responses!G24)),1,0))</f>
        <v/>
      </c>
      <c r="F24" s="24" t="str">
        <f>IF(Responses!$A24="","",IF(ISNUMBER(SEARCH(Key!$C$10,Responses!H24)),1,0))</f>
        <v/>
      </c>
      <c r="G24" s="24" t="str">
        <f>IF(Responses!$A24="","",SUM(B24:F24))</f>
        <v/>
      </c>
      <c r="H24" s="24" t="str">
        <f>IF(Responses!$A24="","",IF(G24&gt;=Key!$C$13,1,0))</f>
        <v/>
      </c>
      <c r="I24" s="24" t="str">
        <f>IF(Responses!$A24="","",IF(IFERROR(OR(ABS(VALUE(SUBSTITUTE(SUBSTITUTE(Responses!I24,",",""),"%",""))-Key!$C$11)&lt;=Key!$D$11+0.000001,ABS(VALUE(SUBSTITUTE(SUBSTITUTE(Responses!I24,",",""),"%",""))*100-Key!$C$11)&lt;=Key!$D$11+0.000001),FALSE()),1,0))</f>
        <v/>
      </c>
      <c r="J24" s="24" t="str">
        <f>IF(Responses!$A24="","",IF(ISNUMBER(SEARCH(Key!$C$5,Responses!C24)),1,0))</f>
        <v/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2026-09-30T07:13:29Z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